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  <sheet name="Platinum" sheetId="2" r:id="rId5"/>
    <sheet name="Gold" sheetId="3" r:id="rId6"/>
  </sheets>
</workbook>
</file>

<file path=xl/sharedStrings.xml><?xml version="1.0" encoding="utf-8"?>
<sst xmlns="http://schemas.openxmlformats.org/spreadsheetml/2006/main" uniqueCount="44">
  <si>
    <t>Tabella 1</t>
  </si>
  <si>
    <t>struttura</t>
  </si>
  <si>
    <t>ESAMI</t>
  </si>
  <si>
    <t>listino vet med</t>
  </si>
  <si>
    <t>prezzo vet med</t>
  </si>
  <si>
    <t>Listino  lav</t>
  </si>
  <si>
    <t>prezzo lav</t>
  </si>
  <si>
    <t xml:space="preserve">Dr Laterza </t>
  </si>
  <si>
    <t xml:space="preserve">cotisolo, </t>
  </si>
  <si>
    <t>histologia</t>
  </si>
  <si>
    <t>batteriologia esame cult</t>
  </si>
  <si>
    <t>leish elisa</t>
  </si>
  <si>
    <t>elettroforesi</t>
  </si>
  <si>
    <t>esame batteriologo</t>
  </si>
  <si>
    <t>batt</t>
  </si>
  <si>
    <t>stim. acth</t>
  </si>
  <si>
    <t>cortisolo</t>
  </si>
  <si>
    <t>isto</t>
  </si>
  <si>
    <t>troponina</t>
  </si>
  <si>
    <t>elisa</t>
  </si>
  <si>
    <t>tsh t4</t>
  </si>
  <si>
    <t>folati vit b 12</t>
  </si>
  <si>
    <t>acth</t>
  </si>
  <si>
    <t>leis eletr</t>
  </si>
  <si>
    <t>ft4</t>
  </si>
  <si>
    <t>giardia</t>
  </si>
  <si>
    <t>fenobarb</t>
  </si>
  <si>
    <t>t4, tsh, elettrof</t>
  </si>
  <si>
    <t>istol</t>
  </si>
  <si>
    <t>cort cre urine</t>
  </si>
  <si>
    <t>N. esami</t>
  </si>
  <si>
    <t xml:space="preserve">Costo esami </t>
  </si>
  <si>
    <t xml:space="preserve">Totale costo esami </t>
  </si>
  <si>
    <t>prezzo vet med scontato</t>
  </si>
  <si>
    <t>LISTINO LAVALLONEA</t>
  </si>
  <si>
    <t>TOTALE LISTINO</t>
  </si>
  <si>
    <t>prezzo lav. platinum</t>
  </si>
  <si>
    <t>Car. Giar Franc</t>
  </si>
  <si>
    <t>10% su idexx</t>
  </si>
  <si>
    <t>Corriere</t>
  </si>
  <si>
    <t>Totale</t>
  </si>
  <si>
    <t xml:space="preserve">differenziale </t>
  </si>
  <si>
    <t xml:space="preserve">prezzo lav. Gold </t>
  </si>
  <si>
    <t xml:space="preserve">folati vit b 12 tli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</si>
</sst>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€-2] 0.00"/>
  </numFmts>
  <fonts count="7">
    <font>
      <sz val="12"/>
      <color indexed="8"/>
      <name val="Verdana"/>
    </font>
    <font>
      <sz val="12"/>
      <color indexed="8"/>
      <name val="Helvetica"/>
    </font>
    <font>
      <sz val="15"/>
      <color indexed="8"/>
      <name val="Verdana"/>
    </font>
    <font>
      <b val="1"/>
      <sz val="10"/>
      <color indexed="8"/>
      <name val="Helvetica"/>
    </font>
    <font>
      <sz val="10"/>
      <color indexed="8"/>
      <name val="Helvetica"/>
    </font>
    <font>
      <sz val="11"/>
      <color indexed="8"/>
      <name val="Helvetica"/>
    </font>
    <font>
      <sz val="10"/>
      <color indexed="8"/>
      <name val="Verdana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18"/>
      </top>
      <bottom style="thin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9"/>
      </bottom>
      <diagonal/>
    </border>
    <border>
      <left style="thin">
        <color indexed="8"/>
      </left>
      <right style="thin">
        <color indexed="8"/>
      </right>
      <top style="thin">
        <color indexed="18"/>
      </top>
      <bottom style="medium">
        <color indexed="19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8"/>
      </left>
      <right style="medium">
        <color indexed="19"/>
      </right>
      <top style="thin">
        <color indexed="8"/>
      </top>
      <bottom style="thin">
        <color indexed="8"/>
      </bottom>
      <diagonal/>
    </border>
    <border>
      <left style="medium">
        <color indexed="19"/>
      </left>
      <right style="medium">
        <color indexed="19"/>
      </right>
      <top style="medium">
        <color indexed="19"/>
      </top>
      <bottom style="medium">
        <color indexed="1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3" fillId="4" borderId="5" applyNumberFormat="0" applyFont="1" applyFill="1" applyBorder="1" applyAlignment="1" applyProtection="0">
      <alignment vertical="top" wrapText="1"/>
    </xf>
    <xf numFmtId="0" fontId="3" fillId="5" borderId="5" applyNumberFormat="0" applyFont="1" applyFill="1" applyBorder="1" applyAlignment="1" applyProtection="0">
      <alignment vertical="top" wrapText="1"/>
    </xf>
    <xf numFmtId="0" fontId="3" fillId="6" borderId="5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3" fillId="5" borderId="5" applyNumberFormat="1" applyFont="1" applyFill="1" applyBorder="1" applyAlignment="1" applyProtection="0">
      <alignment vertical="top" wrapText="1"/>
    </xf>
    <xf numFmtId="49" fontId="3" fillId="6" borderId="5" applyNumberFormat="1" applyFont="1" applyFill="1" applyBorder="1" applyAlignment="1" applyProtection="0">
      <alignment vertical="top" wrapText="1"/>
    </xf>
    <xf numFmtId="49" fontId="3" fillId="7" borderId="5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0" fontId="4" fillId="2" borderId="5" applyNumberFormat="1" applyFont="1" applyFill="1" applyBorder="1" applyAlignment="1" applyProtection="0">
      <alignment vertical="top" wrapText="1"/>
    </xf>
    <xf numFmtId="0" fontId="4" fillId="2" borderId="5" applyNumberFormat="0" applyFont="1" applyFill="1" applyBorder="1" applyAlignment="1" applyProtection="0">
      <alignment vertical="top" wrapText="1"/>
    </xf>
    <xf numFmtId="0" fontId="3" fillId="7" borderId="5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8" borderId="8" applyNumberFormat="0" applyFont="1" applyFill="1" applyBorder="1" applyAlignment="1" applyProtection="0">
      <alignment vertical="top" wrapText="1"/>
    </xf>
    <xf numFmtId="0" fontId="0" fillId="5" borderId="8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49" fontId="3" fillId="5" borderId="10" applyNumberFormat="1" applyFont="1" applyFill="1" applyBorder="1" applyAlignment="1" applyProtection="0">
      <alignment vertical="top" wrapText="1"/>
    </xf>
    <xf numFmtId="49" fontId="0" fillId="5" borderId="11" applyNumberFormat="1" applyFont="1" applyFill="1" applyBorder="1" applyAlignment="1" applyProtection="0">
      <alignment vertical="top" wrapText="1"/>
    </xf>
    <xf numFmtId="0" fontId="3" fillId="3" borderId="10" applyNumberFormat="0" applyFont="1" applyFill="1" applyBorder="1" applyAlignment="1" applyProtection="0">
      <alignment vertical="top" wrapText="1"/>
    </xf>
    <xf numFmtId="49" fontId="3" fillId="6" borderId="10" applyNumberFormat="1" applyFont="1" applyFill="1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49" fontId="4" fillId="4" borderId="13" applyNumberFormat="1" applyFont="1" applyFill="1" applyBorder="1" applyAlignment="1" applyProtection="0">
      <alignment vertical="top" wrapText="1"/>
    </xf>
    <xf numFmtId="0" fontId="4" fillId="2" borderId="14" applyNumberFormat="1" applyFont="1" applyFill="1" applyBorder="1" applyAlignment="1" applyProtection="0">
      <alignment vertical="top" wrapText="1"/>
    </xf>
    <xf numFmtId="59" fontId="6" borderId="14" applyNumberFormat="1" applyFont="1" applyFill="0" applyBorder="1" applyAlignment="1" applyProtection="0">
      <alignment vertical="top" wrapText="1"/>
    </xf>
    <xf numFmtId="59" fontId="4" fillId="2" borderId="14" applyNumberFormat="1" applyFont="1" applyFill="1" applyBorder="1" applyAlignment="1" applyProtection="0">
      <alignment vertical="top" wrapText="1"/>
    </xf>
    <xf numFmtId="0" fontId="4" fillId="2" borderId="14" applyNumberFormat="0" applyFont="1" applyFill="1" applyBorder="1" applyAlignment="1" applyProtection="0">
      <alignment vertical="top" wrapText="1"/>
    </xf>
    <xf numFmtId="0" fontId="4" fillId="4" borderId="13" applyNumberFormat="0" applyFont="1" applyFill="1" applyBorder="1" applyAlignment="1" applyProtection="0">
      <alignment vertical="top" wrapText="1"/>
    </xf>
    <xf numFmtId="59" fontId="0" borderId="14" applyNumberFormat="1" applyFont="1" applyFill="0" applyBorder="1" applyAlignment="1" applyProtection="0">
      <alignment vertical="top" wrapText="1"/>
    </xf>
    <xf numFmtId="59" fontId="4" fillId="9" borderId="14" applyNumberFormat="1" applyFont="1" applyFill="1" applyBorder="1" applyAlignment="1" applyProtection="0">
      <alignment vertical="top" wrapText="1"/>
    </xf>
    <xf numFmtId="59" fontId="4" fillId="10" borderId="14" applyNumberFormat="1" applyFont="1" applyFill="1" applyBorder="1" applyAlignment="1" applyProtection="0">
      <alignment vertical="top" wrapText="1"/>
    </xf>
    <xf numFmtId="59" fontId="4" fillId="11" borderId="14" applyNumberFormat="1" applyFont="1" applyFill="1" applyBorder="1" applyAlignment="1" applyProtection="0">
      <alignment vertical="top" wrapText="1"/>
    </xf>
    <xf numFmtId="59" fontId="4" fillId="12" borderId="14" applyNumberFormat="1" applyFont="1" applyFill="1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49" fontId="4" fillId="13" borderId="14" applyNumberFormat="1" applyFont="1" applyFill="1" applyBorder="1" applyAlignment="1" applyProtection="0">
      <alignment vertical="top" wrapText="1"/>
    </xf>
    <xf numFmtId="59" fontId="4" fillId="13" borderId="14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  <rgbColor rgb="ff48bbf9"/>
      <rgbColor rgb="ffa2110d"/>
      <rgbColor rgb="fffefb4b"/>
      <rgbColor rgb="ffdbdbdb"/>
      <rgbColor rgb="ffbdc0bf"/>
      <rgbColor rgb="ffa5a5a5"/>
      <rgbColor rgb="ff3f3f3f"/>
      <rgbColor rgb="ff515151"/>
      <rgbColor rgb="ffcc241a"/>
      <rgbColor rgb="ffff2d21"/>
      <rgbColor rgb="ff76b4d6"/>
      <rgbColor rgb="ff6ec038"/>
      <rgbColor rgb="ffffa9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43"/>
  <sheetViews>
    <sheetView workbookViewId="0" showGridLines="0" defaultGridColor="1"/>
  </sheetViews>
  <sheetFormatPr defaultColWidth="9" defaultRowHeight="18" customHeight="1" outlineLevelRow="0" outlineLevelCol="0"/>
  <cols>
    <col min="1" max="1" width="9.125" style="1" customWidth="1"/>
    <col min="2" max="2" width="1.125" style="1" customWidth="1"/>
    <col min="3" max="10" width="9.125" style="1" customWidth="1"/>
    <col min="11" max="16384" width="9" style="1" customWidth="1"/>
  </cols>
  <sheetData>
    <row r="1" ht="18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5"/>
    </row>
    <row r="2" ht="23.7" customHeight="1">
      <c r="A2" s="6"/>
      <c r="B2" s="7"/>
      <c r="C2" s="8"/>
      <c r="D2" s="9"/>
      <c r="E2" s="9"/>
      <c r="F2" s="6"/>
      <c r="G2" s="10"/>
      <c r="H2" s="10"/>
      <c r="I2" s="6"/>
      <c r="J2" s="6"/>
    </row>
    <row r="3" ht="23.7" customHeight="1">
      <c r="A3" t="s" s="11">
        <v>1</v>
      </c>
      <c r="B3" s="7"/>
      <c r="C3" t="s" s="12">
        <v>2</v>
      </c>
      <c r="D3" t="s" s="13">
        <v>3</v>
      </c>
      <c r="E3" t="s" s="13">
        <v>4</v>
      </c>
      <c r="F3" s="6"/>
      <c r="G3" t="s" s="14">
        <v>5</v>
      </c>
      <c r="H3" t="s" s="14">
        <v>6</v>
      </c>
      <c r="I3" s="6"/>
      <c r="J3" s="6"/>
    </row>
    <row r="4" ht="20.55" customHeight="1">
      <c r="A4" t="s" s="15">
        <v>7</v>
      </c>
      <c r="B4" s="7"/>
      <c r="C4" t="s" s="16">
        <v>8</v>
      </c>
      <c r="D4" s="17">
        <v>22.7</v>
      </c>
      <c r="E4" s="17">
        <f>D4-(D4/10)</f>
        <v>20.43</v>
      </c>
      <c r="F4" s="18"/>
      <c r="G4" s="17">
        <v>20</v>
      </c>
      <c r="H4" s="17">
        <v>15</v>
      </c>
      <c r="I4" s="18"/>
      <c r="J4" s="18"/>
    </row>
    <row r="5" ht="20.35" customHeight="1">
      <c r="A5" s="19"/>
      <c r="B5" s="7"/>
      <c r="C5" t="s" s="16">
        <v>9</v>
      </c>
      <c r="D5" s="17">
        <v>44.2</v>
      </c>
      <c r="E5" s="17">
        <f>D5-(D5/10)</f>
        <v>39.78</v>
      </c>
      <c r="F5" s="18"/>
      <c r="G5" s="17">
        <v>42</v>
      </c>
      <c r="H5" s="17">
        <v>29.5</v>
      </c>
      <c r="I5" s="18"/>
      <c r="J5" s="18"/>
    </row>
    <row r="6" ht="32.35" customHeight="1">
      <c r="A6" s="19"/>
      <c r="B6" s="7"/>
      <c r="C6" t="s" s="16">
        <v>10</v>
      </c>
      <c r="D6" s="17">
        <v>39.5</v>
      </c>
      <c r="E6" s="17">
        <f>D6-(D6/10)</f>
        <v>35.55</v>
      </c>
      <c r="F6" s="18"/>
      <c r="G6" s="17">
        <v>39</v>
      </c>
      <c r="H6" s="17">
        <v>26.5</v>
      </c>
      <c r="I6" s="17">
        <v>3</v>
      </c>
      <c r="J6" s="18"/>
    </row>
    <row r="7" ht="20.35" customHeight="1">
      <c r="A7" s="19"/>
      <c r="B7" s="7"/>
      <c r="C7" t="s" s="16">
        <v>11</v>
      </c>
      <c r="D7" s="17">
        <v>27.5</v>
      </c>
      <c r="E7" s="17">
        <f>D7-(D7/10)</f>
        <v>24.75</v>
      </c>
      <c r="F7" s="18"/>
      <c r="G7" s="17">
        <v>25</v>
      </c>
      <c r="H7" s="17">
        <v>17.5</v>
      </c>
      <c r="I7" s="18"/>
      <c r="J7" s="18"/>
    </row>
    <row r="8" ht="20.35" customHeight="1">
      <c r="A8" s="19"/>
      <c r="B8" s="7"/>
      <c r="C8" t="s" s="16">
        <v>12</v>
      </c>
      <c r="D8" s="18"/>
      <c r="E8" s="17">
        <f>D8-(D8/10)</f>
        <v>0</v>
      </c>
      <c r="F8" s="18"/>
      <c r="G8" s="17">
        <v>7.5</v>
      </c>
      <c r="H8" s="17">
        <v>5.3</v>
      </c>
      <c r="I8" s="18"/>
      <c r="J8" s="18"/>
    </row>
    <row r="9" ht="32.35" customHeight="1">
      <c r="A9" s="19"/>
      <c r="B9" s="7"/>
      <c r="C9" t="s" s="16">
        <v>13</v>
      </c>
      <c r="D9" s="17">
        <v>39.5</v>
      </c>
      <c r="E9" s="17">
        <f>D9-(D9/10)</f>
        <v>35.55</v>
      </c>
      <c r="F9" s="18"/>
      <c r="G9" s="17">
        <v>39</v>
      </c>
      <c r="H9" s="17">
        <v>26.5</v>
      </c>
      <c r="I9" s="17">
        <v>3</v>
      </c>
      <c r="J9" s="18"/>
    </row>
    <row r="10" ht="20.35" customHeight="1">
      <c r="A10" s="19"/>
      <c r="B10" s="7"/>
      <c r="C10" t="s" s="16">
        <v>14</v>
      </c>
      <c r="D10" s="17">
        <v>39.5</v>
      </c>
      <c r="E10" s="17">
        <f>D10-(D10/10)</f>
        <v>35.55</v>
      </c>
      <c r="F10" s="18"/>
      <c r="G10" s="17">
        <v>39</v>
      </c>
      <c r="H10" s="17">
        <v>26.5</v>
      </c>
      <c r="I10" s="17">
        <v>3</v>
      </c>
      <c r="J10" s="18"/>
    </row>
    <row r="11" ht="32.35" customHeight="1">
      <c r="A11" s="19"/>
      <c r="B11" s="7"/>
      <c r="C11" t="s" s="16">
        <v>10</v>
      </c>
      <c r="D11" s="17">
        <v>39.5</v>
      </c>
      <c r="E11" s="17">
        <f>D11-(D11/10)</f>
        <v>35.55</v>
      </c>
      <c r="F11" s="18"/>
      <c r="G11" s="17">
        <v>39</v>
      </c>
      <c r="H11" s="17">
        <v>26.5</v>
      </c>
      <c r="I11" s="17">
        <v>3</v>
      </c>
      <c r="J11" s="18"/>
    </row>
    <row r="12" ht="20.35" customHeight="1">
      <c r="A12" s="19"/>
      <c r="B12" s="7"/>
      <c r="C12" t="s" s="16">
        <v>15</v>
      </c>
      <c r="D12" s="17">
        <v>39.5</v>
      </c>
      <c r="E12" s="17">
        <f>D12-(D12/10)</f>
        <v>35.55</v>
      </c>
      <c r="F12" s="18"/>
      <c r="G12" s="17">
        <v>30</v>
      </c>
      <c r="H12" s="17">
        <v>22.5</v>
      </c>
      <c r="I12" s="18"/>
      <c r="J12" s="18"/>
    </row>
    <row r="13" ht="20.35" customHeight="1">
      <c r="A13" s="19"/>
      <c r="B13" s="7"/>
      <c r="C13" t="s" s="16">
        <v>16</v>
      </c>
      <c r="D13" s="17">
        <v>22.7</v>
      </c>
      <c r="E13" s="17">
        <f>D13-(D13/10)</f>
        <v>20.43</v>
      </c>
      <c r="F13" s="18"/>
      <c r="G13" s="18"/>
      <c r="H13" s="18"/>
      <c r="I13" s="18"/>
      <c r="J13" s="18"/>
    </row>
    <row r="14" ht="20.35" customHeight="1">
      <c r="A14" s="19"/>
      <c r="B14" s="7"/>
      <c r="C14" t="s" s="16">
        <v>17</v>
      </c>
      <c r="D14" s="17">
        <v>44.2</v>
      </c>
      <c r="E14" s="17">
        <f>D14-(D14/10)</f>
        <v>39.78</v>
      </c>
      <c r="F14" s="18"/>
      <c r="G14" s="17">
        <v>42</v>
      </c>
      <c r="H14" s="17">
        <v>29.5</v>
      </c>
      <c r="I14" s="18"/>
      <c r="J14" s="18"/>
    </row>
    <row r="15" ht="20.35" customHeight="1">
      <c r="A15" s="19"/>
      <c r="B15" s="7"/>
      <c r="C15" t="s" s="16">
        <v>17</v>
      </c>
      <c r="D15" s="17">
        <v>44.2</v>
      </c>
      <c r="E15" s="17">
        <f>D15-(D15/10)</f>
        <v>39.78</v>
      </c>
      <c r="F15" s="18"/>
      <c r="G15" s="17">
        <v>42</v>
      </c>
      <c r="H15" s="17">
        <v>29.5</v>
      </c>
      <c r="I15" s="18"/>
      <c r="J15" s="18"/>
    </row>
    <row r="16" ht="20.35" customHeight="1">
      <c r="A16" s="19"/>
      <c r="B16" s="7"/>
      <c r="C16" t="s" s="16">
        <v>18</v>
      </c>
      <c r="D16" s="17">
        <v>24.3</v>
      </c>
      <c r="E16" s="17">
        <f>D16-(D16/10)</f>
        <v>21.87</v>
      </c>
      <c r="F16" s="18"/>
      <c r="G16" s="17">
        <v>24.3</v>
      </c>
      <c r="H16" s="17">
        <v>24.3</v>
      </c>
      <c r="I16" s="18"/>
      <c r="J16" s="18"/>
    </row>
    <row r="17" ht="20.35" customHeight="1">
      <c r="A17" s="19"/>
      <c r="B17" s="7"/>
      <c r="C17" t="s" s="16">
        <v>15</v>
      </c>
      <c r="D17" s="17">
        <v>39</v>
      </c>
      <c r="E17" s="17">
        <f>D17-(D17/10)</f>
        <v>35.1</v>
      </c>
      <c r="F17" s="18"/>
      <c r="G17" s="17">
        <v>30</v>
      </c>
      <c r="H17" s="17">
        <v>22.5</v>
      </c>
      <c r="I17" s="18"/>
      <c r="J17" s="18"/>
    </row>
    <row r="18" ht="20.35" customHeight="1">
      <c r="A18" s="19"/>
      <c r="B18" s="7"/>
      <c r="C18" t="s" s="16">
        <v>19</v>
      </c>
      <c r="D18" s="18"/>
      <c r="E18" s="17">
        <f>D18-(D18/10)</f>
        <v>0</v>
      </c>
      <c r="F18" s="18"/>
      <c r="G18" s="18"/>
      <c r="H18" s="18"/>
      <c r="I18" s="18"/>
      <c r="J18" s="18"/>
    </row>
    <row r="19" ht="20.35" customHeight="1">
      <c r="A19" s="19"/>
      <c r="B19" s="7"/>
      <c r="C19" t="s" s="16">
        <v>20</v>
      </c>
      <c r="D19" s="17">
        <v>29.1</v>
      </c>
      <c r="E19" s="17">
        <f>D19-(D19/10)</f>
        <v>26.19</v>
      </c>
      <c r="F19" s="18"/>
      <c r="G19" s="17">
        <v>24</v>
      </c>
      <c r="H19" s="17">
        <v>16.8</v>
      </c>
      <c r="I19" s="17">
        <v>32</v>
      </c>
      <c r="J19" s="17">
        <v>24</v>
      </c>
    </row>
    <row r="20" ht="20.35" customHeight="1">
      <c r="A20" s="19"/>
      <c r="B20" s="7"/>
      <c r="C20" t="s" s="16">
        <v>12</v>
      </c>
      <c r="D20" s="17">
        <v>9.5</v>
      </c>
      <c r="E20" s="17">
        <f>D20-(D20/10)</f>
        <v>8.550000000000001</v>
      </c>
      <c r="F20" s="18"/>
      <c r="G20" s="17">
        <v>7.5</v>
      </c>
      <c r="H20" s="17">
        <v>5.3</v>
      </c>
      <c r="I20" s="18"/>
      <c r="J20" s="18"/>
    </row>
    <row r="21" ht="20.35" customHeight="1">
      <c r="A21" s="19"/>
      <c r="B21" s="7"/>
      <c r="C21" t="s" s="16">
        <v>21</v>
      </c>
      <c r="D21" s="17">
        <v>44.5</v>
      </c>
      <c r="E21" s="17">
        <f>D21-(D21/10)</f>
        <v>40.05</v>
      </c>
      <c r="F21" s="18"/>
      <c r="G21" s="17">
        <v>42</v>
      </c>
      <c r="H21" s="17">
        <v>31.5</v>
      </c>
      <c r="I21" s="18"/>
      <c r="J21" s="18"/>
    </row>
    <row r="22" ht="32.35" customHeight="1">
      <c r="A22" s="19"/>
      <c r="B22" s="7"/>
      <c r="C22" t="s" s="16">
        <v>10</v>
      </c>
      <c r="D22" s="17">
        <v>39.5</v>
      </c>
      <c r="E22" s="17">
        <f>D22-(D22/10)</f>
        <v>35.55</v>
      </c>
      <c r="F22" s="18"/>
      <c r="G22" s="17">
        <v>39</v>
      </c>
      <c r="H22" s="17">
        <v>26.5</v>
      </c>
      <c r="I22" s="17">
        <v>3</v>
      </c>
      <c r="J22" s="18"/>
    </row>
    <row r="23" ht="20.35" customHeight="1">
      <c r="A23" s="19"/>
      <c r="B23" s="7"/>
      <c r="C23" t="s" s="16">
        <v>17</v>
      </c>
      <c r="D23" s="17">
        <v>44.5</v>
      </c>
      <c r="E23" s="17">
        <f>D23-(D23/10)</f>
        <v>40.05</v>
      </c>
      <c r="F23" s="18"/>
      <c r="G23" s="17">
        <v>42</v>
      </c>
      <c r="H23" s="17">
        <v>29.5</v>
      </c>
      <c r="I23" s="18"/>
      <c r="J23" s="18"/>
    </row>
    <row r="24" ht="20.35" customHeight="1">
      <c r="A24" s="19"/>
      <c r="B24" s="7"/>
      <c r="C24" t="s" s="16">
        <v>12</v>
      </c>
      <c r="D24" s="17">
        <v>9.5</v>
      </c>
      <c r="E24" s="17">
        <f>D24-(D24/10)</f>
        <v>8.550000000000001</v>
      </c>
      <c r="F24" s="18"/>
      <c r="G24" s="17">
        <v>7.5</v>
      </c>
      <c r="H24" s="17">
        <v>5.3</v>
      </c>
      <c r="I24" s="18"/>
      <c r="J24" s="18"/>
    </row>
    <row r="25" ht="20.35" customHeight="1">
      <c r="A25" s="19"/>
      <c r="B25" s="7"/>
      <c r="C25" t="s" s="16">
        <v>22</v>
      </c>
      <c r="D25" s="17">
        <v>34.9</v>
      </c>
      <c r="E25" s="17">
        <f>D25-(D25/10)</f>
        <v>31.41</v>
      </c>
      <c r="F25" s="18"/>
      <c r="G25" s="17">
        <v>35</v>
      </c>
      <c r="H25" s="17">
        <v>25.5</v>
      </c>
      <c r="I25" s="18"/>
      <c r="J25" s="18"/>
    </row>
    <row r="26" ht="20.35" customHeight="1">
      <c r="A26" s="19"/>
      <c r="B26" s="7"/>
      <c r="C26" t="s" s="16">
        <v>23</v>
      </c>
      <c r="D26" s="17">
        <v>27.5</v>
      </c>
      <c r="E26" s="17">
        <f>D26-(D26/10)</f>
        <v>24.75</v>
      </c>
      <c r="F26" s="18"/>
      <c r="G26" s="17">
        <v>32.5</v>
      </c>
      <c r="H26" s="17">
        <v>23</v>
      </c>
      <c r="I26" s="18"/>
      <c r="J26" s="18"/>
    </row>
    <row r="27" ht="32.35" customHeight="1">
      <c r="A27" s="19"/>
      <c r="B27" s="7"/>
      <c r="C27" t="s" s="16">
        <v>10</v>
      </c>
      <c r="D27" s="17">
        <v>39.5</v>
      </c>
      <c r="E27" s="17">
        <f>D27-(D27/10)</f>
        <v>35.55</v>
      </c>
      <c r="F27" s="18"/>
      <c r="G27" s="17">
        <v>39</v>
      </c>
      <c r="H27" s="17">
        <v>26.5</v>
      </c>
      <c r="I27" s="17">
        <v>3</v>
      </c>
      <c r="J27" s="18"/>
    </row>
    <row r="28" ht="20.35" customHeight="1">
      <c r="A28" s="19"/>
      <c r="B28" s="7"/>
      <c r="C28" t="s" s="16">
        <v>17</v>
      </c>
      <c r="D28" s="17">
        <v>44.2</v>
      </c>
      <c r="E28" s="17">
        <f>D28-(D28/10)</f>
        <v>39.78</v>
      </c>
      <c r="F28" s="18"/>
      <c r="G28" s="17">
        <v>42</v>
      </c>
      <c r="H28" s="17">
        <v>29.5</v>
      </c>
      <c r="I28" s="18"/>
      <c r="J28" s="18"/>
    </row>
    <row r="29" ht="20.35" customHeight="1">
      <c r="A29" s="19"/>
      <c r="B29" s="7"/>
      <c r="C29" t="s" s="16">
        <v>17</v>
      </c>
      <c r="D29" s="17">
        <v>44.2</v>
      </c>
      <c r="E29" s="17">
        <f>D29-(D29/10)</f>
        <v>39.78</v>
      </c>
      <c r="F29" s="18"/>
      <c r="G29" s="17">
        <v>42</v>
      </c>
      <c r="H29" s="17">
        <v>29.5</v>
      </c>
      <c r="I29" s="18"/>
      <c r="J29" s="18"/>
    </row>
    <row r="30" ht="32.35" customHeight="1">
      <c r="A30" s="19"/>
      <c r="B30" s="7"/>
      <c r="C30" t="s" s="16">
        <v>10</v>
      </c>
      <c r="D30" s="17">
        <v>39.5</v>
      </c>
      <c r="E30" s="17">
        <f>D30-(D30/10)</f>
        <v>35.55</v>
      </c>
      <c r="F30" s="18"/>
      <c r="G30" s="17">
        <v>39</v>
      </c>
      <c r="H30" s="17">
        <v>26.5</v>
      </c>
      <c r="I30" s="17">
        <v>3</v>
      </c>
      <c r="J30" s="18"/>
    </row>
    <row r="31" ht="20.35" customHeight="1">
      <c r="A31" s="19"/>
      <c r="B31" s="7"/>
      <c r="C31" t="s" s="16">
        <v>12</v>
      </c>
      <c r="D31" s="17">
        <v>9.5</v>
      </c>
      <c r="E31" s="17">
        <f>D31-(D31/10)</f>
        <v>8.550000000000001</v>
      </c>
      <c r="F31" s="18"/>
      <c r="G31" s="17">
        <v>7.5</v>
      </c>
      <c r="H31" s="17">
        <v>5.3</v>
      </c>
      <c r="I31" s="18"/>
      <c r="J31" s="18"/>
    </row>
    <row r="32" ht="20.35" customHeight="1">
      <c r="A32" s="19"/>
      <c r="B32" s="7"/>
      <c r="C32" t="s" s="16">
        <v>12</v>
      </c>
      <c r="D32" s="17">
        <v>9.5</v>
      </c>
      <c r="E32" s="17">
        <f>D32-(D32/10)</f>
        <v>8.550000000000001</v>
      </c>
      <c r="F32" s="18"/>
      <c r="G32" s="17">
        <v>42</v>
      </c>
      <c r="H32" s="17">
        <v>29.5</v>
      </c>
      <c r="I32" s="18"/>
      <c r="J32" s="18"/>
    </row>
    <row r="33" ht="20.35" customHeight="1">
      <c r="A33" s="19"/>
      <c r="B33" s="7"/>
      <c r="C33" t="s" s="16">
        <v>17</v>
      </c>
      <c r="D33" s="17">
        <v>44.2</v>
      </c>
      <c r="E33" s="17">
        <f>D33-(D33/10)</f>
        <v>39.78</v>
      </c>
      <c r="F33" s="18"/>
      <c r="G33" s="17">
        <v>42</v>
      </c>
      <c r="H33" s="17">
        <v>29.5</v>
      </c>
      <c r="I33" s="18"/>
      <c r="J33" s="18"/>
    </row>
    <row r="34" ht="20.35" customHeight="1">
      <c r="A34" s="19"/>
      <c r="B34" s="7"/>
      <c r="C34" t="s" s="16">
        <v>17</v>
      </c>
      <c r="D34" s="17">
        <v>44.2</v>
      </c>
      <c r="E34" s="17">
        <f>D34-(D34/10)</f>
        <v>39.78</v>
      </c>
      <c r="F34" s="18"/>
      <c r="G34" s="17">
        <v>42</v>
      </c>
      <c r="H34" s="17">
        <v>29.5</v>
      </c>
      <c r="I34" s="18"/>
      <c r="J34" s="18"/>
    </row>
    <row r="35" ht="20.35" customHeight="1">
      <c r="A35" s="19"/>
      <c r="B35" s="7"/>
      <c r="C35" t="s" s="16">
        <v>17</v>
      </c>
      <c r="D35" s="17">
        <v>44.2</v>
      </c>
      <c r="E35" s="17">
        <f>D35-(D35/10)</f>
        <v>39.78</v>
      </c>
      <c r="F35" s="18"/>
      <c r="G35" s="17">
        <v>42</v>
      </c>
      <c r="H35" s="17">
        <v>29.5</v>
      </c>
      <c r="I35" s="18"/>
      <c r="J35" s="18"/>
    </row>
    <row r="36" ht="20.35" customHeight="1">
      <c r="A36" s="19"/>
      <c r="B36" s="7"/>
      <c r="C36" t="s" s="16">
        <v>17</v>
      </c>
      <c r="D36" s="17">
        <v>44.2</v>
      </c>
      <c r="E36" s="17">
        <f>D36-(D36/10)</f>
        <v>39.78</v>
      </c>
      <c r="F36" s="18"/>
      <c r="G36" s="17">
        <v>42</v>
      </c>
      <c r="H36" s="17">
        <v>29.5</v>
      </c>
      <c r="I36" s="18"/>
      <c r="J36" s="18"/>
    </row>
    <row r="37" ht="20.35" customHeight="1">
      <c r="A37" s="19"/>
      <c r="B37" s="7"/>
      <c r="C37" t="s" s="16">
        <v>24</v>
      </c>
      <c r="D37" s="17">
        <v>21.7</v>
      </c>
      <c r="E37" s="17">
        <f>D37-(D37/10)</f>
        <v>19.53</v>
      </c>
      <c r="F37" s="18"/>
      <c r="G37" s="17">
        <v>19</v>
      </c>
      <c r="H37" s="17">
        <v>13.3</v>
      </c>
      <c r="I37" s="18"/>
      <c r="J37" s="18"/>
    </row>
    <row r="38" ht="20.35" customHeight="1">
      <c r="A38" s="19"/>
      <c r="B38" s="7"/>
      <c r="C38" t="s" s="16">
        <v>14</v>
      </c>
      <c r="D38" s="17">
        <v>39.5</v>
      </c>
      <c r="E38" s="17">
        <f>D38-(D38/10)</f>
        <v>35.55</v>
      </c>
      <c r="F38" s="18"/>
      <c r="G38" s="17">
        <v>39</v>
      </c>
      <c r="H38" s="17">
        <v>26.5</v>
      </c>
      <c r="I38" s="17">
        <v>3</v>
      </c>
      <c r="J38" s="18"/>
    </row>
    <row r="39" ht="20.35" customHeight="1">
      <c r="A39" s="19"/>
      <c r="B39" s="7"/>
      <c r="C39" t="s" s="16">
        <v>25</v>
      </c>
      <c r="D39" s="17">
        <v>20.1</v>
      </c>
      <c r="E39" s="17">
        <f>D39-(D39/10)</f>
        <v>18.09</v>
      </c>
      <c r="F39" s="18"/>
      <c r="G39" s="17">
        <v>18</v>
      </c>
      <c r="H39" s="17">
        <v>13.5</v>
      </c>
      <c r="I39" s="18"/>
      <c r="J39" s="18"/>
    </row>
    <row r="40" ht="20.35" customHeight="1">
      <c r="A40" s="19"/>
      <c r="B40" s="7"/>
      <c r="C40" t="s" s="16">
        <v>26</v>
      </c>
      <c r="D40" s="17">
        <v>22.2</v>
      </c>
      <c r="E40" s="17">
        <f>D40-(D40/10)</f>
        <v>19.98</v>
      </c>
      <c r="F40" s="18"/>
      <c r="G40" s="17">
        <v>17</v>
      </c>
      <c r="H40" s="17">
        <v>12.75</v>
      </c>
      <c r="I40" s="17">
        <v>30</v>
      </c>
      <c r="J40" s="17">
        <v>22.5</v>
      </c>
    </row>
    <row r="41" ht="20.35" customHeight="1">
      <c r="A41" s="19"/>
      <c r="B41" s="7"/>
      <c r="C41" t="s" s="16">
        <v>16</v>
      </c>
      <c r="D41" s="17">
        <v>22.7</v>
      </c>
      <c r="E41" s="17">
        <f>D41-(D41/10)</f>
        <v>20.43</v>
      </c>
      <c r="F41" s="18"/>
      <c r="G41" s="17">
        <v>20</v>
      </c>
      <c r="H41" s="17">
        <v>15</v>
      </c>
      <c r="I41" s="18"/>
      <c r="J41" s="18"/>
    </row>
    <row r="42" ht="20.35" customHeight="1">
      <c r="A42" s="19"/>
      <c r="B42" s="7"/>
      <c r="C42" t="s" s="16">
        <v>16</v>
      </c>
      <c r="D42" s="17">
        <v>22.7</v>
      </c>
      <c r="E42" s="17">
        <f>D42-(D42/10)</f>
        <v>20.43</v>
      </c>
      <c r="F42" s="18"/>
      <c r="G42" s="17">
        <v>20</v>
      </c>
      <c r="H42" s="17">
        <v>15</v>
      </c>
      <c r="I42" s="18"/>
      <c r="J42" s="18"/>
    </row>
    <row r="43" ht="20.35" customHeight="1">
      <c r="A43" s="19"/>
      <c r="B43" s="7"/>
      <c r="C43" t="s" s="16">
        <v>17</v>
      </c>
      <c r="D43" s="17">
        <v>44.2</v>
      </c>
      <c r="E43" s="17">
        <f>D43-(D43/10)</f>
        <v>39.78</v>
      </c>
      <c r="F43" s="18"/>
      <c r="G43" s="17">
        <v>42</v>
      </c>
      <c r="H43" s="17">
        <v>29.5</v>
      </c>
      <c r="I43" s="18"/>
      <c r="J43" s="18"/>
    </row>
    <row r="44" ht="20.35" customHeight="1">
      <c r="A44" s="19"/>
      <c r="B44" s="7"/>
      <c r="C44" t="s" s="16">
        <v>22</v>
      </c>
      <c r="D44" s="17">
        <v>34.9</v>
      </c>
      <c r="E44" s="17">
        <f>D44-(D44/10)</f>
        <v>31.41</v>
      </c>
      <c r="F44" s="18"/>
      <c r="G44" s="17">
        <v>35</v>
      </c>
      <c r="H44" s="17">
        <v>25.5</v>
      </c>
      <c r="I44" s="18"/>
      <c r="J44" s="18"/>
    </row>
    <row r="45" ht="20.35" customHeight="1">
      <c r="A45" s="19"/>
      <c r="B45" s="7"/>
      <c r="C45" t="s" s="16">
        <v>18</v>
      </c>
      <c r="D45" s="17">
        <v>24.3</v>
      </c>
      <c r="E45" s="17">
        <f>D45-(D45/10)</f>
        <v>21.87</v>
      </c>
      <c r="F45" s="18"/>
      <c r="G45" s="17">
        <v>24.3</v>
      </c>
      <c r="H45" s="17">
        <v>24.3</v>
      </c>
      <c r="I45" s="18"/>
      <c r="J45" s="18"/>
    </row>
    <row r="46" ht="20.35" customHeight="1">
      <c r="A46" s="19"/>
      <c r="B46" s="7"/>
      <c r="C46" t="s" s="16">
        <v>27</v>
      </c>
      <c r="D46" s="17">
        <v>29.1</v>
      </c>
      <c r="E46" s="17">
        <f>D46-(D46/10)</f>
        <v>26.19</v>
      </c>
      <c r="F46" s="18"/>
      <c r="G46" s="17">
        <v>29</v>
      </c>
      <c r="H46" s="17">
        <v>26</v>
      </c>
      <c r="I46" s="18"/>
      <c r="J46" s="18"/>
    </row>
    <row r="47" ht="20.35" customHeight="1">
      <c r="A47" s="19"/>
      <c r="B47" s="7"/>
      <c r="C47" t="s" s="16">
        <v>28</v>
      </c>
      <c r="D47" s="17">
        <v>44.2</v>
      </c>
      <c r="E47" s="17">
        <f>D47-(D47/10)</f>
        <v>39.78</v>
      </c>
      <c r="F47" s="18"/>
      <c r="G47" s="17">
        <v>42</v>
      </c>
      <c r="H47" s="17">
        <v>29.5</v>
      </c>
      <c r="I47" s="18"/>
      <c r="J47" s="18"/>
    </row>
    <row r="48" ht="20.35" customHeight="1">
      <c r="A48" s="19"/>
      <c r="B48" s="7"/>
      <c r="C48" t="s" s="16">
        <v>12</v>
      </c>
      <c r="D48" s="17">
        <v>9.5</v>
      </c>
      <c r="E48" s="17">
        <f>D48-(D48/10)</f>
        <v>8.550000000000001</v>
      </c>
      <c r="F48" s="18"/>
      <c r="G48" s="17">
        <v>7.5</v>
      </c>
      <c r="H48" s="17">
        <v>5.3</v>
      </c>
      <c r="I48" s="18"/>
      <c r="J48" s="18"/>
    </row>
    <row r="49" ht="20.35" customHeight="1">
      <c r="A49" s="19"/>
      <c r="B49" s="7"/>
      <c r="C49" t="s" s="16">
        <v>12</v>
      </c>
      <c r="D49" s="17">
        <v>9.5</v>
      </c>
      <c r="E49" s="17">
        <f>D49-(D49/10)</f>
        <v>8.550000000000001</v>
      </c>
      <c r="F49" s="18"/>
      <c r="G49" s="17">
        <v>7.5</v>
      </c>
      <c r="H49" s="17">
        <v>5.3</v>
      </c>
      <c r="I49" s="18"/>
      <c r="J49" s="18"/>
    </row>
    <row r="50" ht="20.35" customHeight="1">
      <c r="A50" s="19"/>
      <c r="B50" s="7"/>
      <c r="C50" t="s" s="16">
        <v>29</v>
      </c>
      <c r="D50" s="17">
        <v>25.9</v>
      </c>
      <c r="E50" s="17">
        <f>D50-(D50/10)</f>
        <v>23.31</v>
      </c>
      <c r="F50" s="18"/>
      <c r="G50" s="17">
        <v>22</v>
      </c>
      <c r="H50" s="17">
        <v>16.5</v>
      </c>
      <c r="I50" s="18"/>
      <c r="J50" s="18"/>
    </row>
    <row r="51" ht="20.35" customHeight="1">
      <c r="A51" s="19"/>
      <c r="B51" s="7"/>
      <c r="C51" t="s" s="16">
        <v>17</v>
      </c>
      <c r="D51" s="17">
        <v>44.2</v>
      </c>
      <c r="E51" s="17">
        <f>D51-(D51/10)</f>
        <v>39.78</v>
      </c>
      <c r="F51" s="18"/>
      <c r="G51" s="17">
        <v>44.2</v>
      </c>
      <c r="H51" s="17">
        <v>29.5</v>
      </c>
      <c r="I51" s="18"/>
      <c r="J51" s="18"/>
    </row>
    <row r="52" ht="20.35" customHeight="1">
      <c r="A52" s="19"/>
      <c r="B52" s="7"/>
      <c r="C52" t="s" s="16">
        <v>14</v>
      </c>
      <c r="D52" s="17">
        <v>39.5</v>
      </c>
      <c r="E52" s="17">
        <f>D52-(D52/10)</f>
        <v>35.55</v>
      </c>
      <c r="F52" s="18"/>
      <c r="G52" s="17">
        <v>39</v>
      </c>
      <c r="H52" s="17">
        <v>26.5</v>
      </c>
      <c r="I52" s="17">
        <v>3</v>
      </c>
      <c r="J52" s="18"/>
    </row>
    <row r="53" ht="20.35" customHeight="1">
      <c r="A53" s="19"/>
      <c r="B53" s="7"/>
      <c r="C53" t="s" s="16">
        <v>16</v>
      </c>
      <c r="D53" s="17">
        <v>22.7</v>
      </c>
      <c r="E53" s="17">
        <f>D53-(D53/10)</f>
        <v>20.43</v>
      </c>
      <c r="F53" s="18"/>
      <c r="G53" s="17">
        <v>20</v>
      </c>
      <c r="H53" s="17">
        <v>15</v>
      </c>
      <c r="I53" s="18"/>
      <c r="J53" s="18"/>
    </row>
    <row r="54" ht="32.35" customHeight="1">
      <c r="A54" s="19"/>
      <c r="B54" s="7"/>
      <c r="C54" s="18"/>
      <c r="D54" s="17">
        <f>SUM(D1:D53)</f>
        <v>1545.4</v>
      </c>
      <c r="E54" s="17">
        <f>SUM(E1:E53)</f>
        <v>1390.86</v>
      </c>
      <c r="F54" s="17">
        <f>SUM(F1:F53)</f>
        <v>0</v>
      </c>
      <c r="G54" s="17">
        <f>SUM(G1:G53)</f>
        <v>1473.3</v>
      </c>
      <c r="H54" s="17">
        <f>SUM(H1:H53)</f>
        <v>1058.75</v>
      </c>
      <c r="I54" s="18"/>
      <c r="J54" s="18"/>
    </row>
    <row r="55" ht="20.35" customHeight="1">
      <c r="A55" s="19"/>
      <c r="B55" s="7"/>
      <c r="C55" s="18"/>
      <c r="D55" s="18"/>
      <c r="E55" s="18"/>
      <c r="F55" s="18"/>
      <c r="G55" s="18"/>
      <c r="H55" s="18"/>
      <c r="I55" s="18"/>
      <c r="J55" s="18"/>
    </row>
    <row r="56" ht="20.35" customHeight="1">
      <c r="A56" s="19"/>
      <c r="B56" s="7"/>
      <c r="C56" s="18"/>
      <c r="D56" s="18"/>
      <c r="E56" s="18"/>
      <c r="F56" s="18"/>
      <c r="G56" s="18"/>
      <c r="H56" s="18"/>
      <c r="I56" s="18"/>
      <c r="J56" s="18"/>
    </row>
    <row r="57" ht="20.35" customHeight="1">
      <c r="A57" s="19"/>
      <c r="B57" s="7"/>
      <c r="C57" s="18"/>
      <c r="D57" s="18"/>
      <c r="E57" s="18"/>
      <c r="F57" s="18"/>
      <c r="G57" s="18"/>
      <c r="H57" s="18"/>
      <c r="I57" s="18"/>
      <c r="J57" s="18"/>
    </row>
    <row r="58" ht="20.35" customHeight="1">
      <c r="A58" s="19"/>
      <c r="B58" s="7"/>
      <c r="C58" s="18"/>
      <c r="D58" s="18"/>
      <c r="E58" s="18"/>
      <c r="F58" s="18"/>
      <c r="G58" s="18"/>
      <c r="H58" s="18"/>
      <c r="I58" s="18"/>
      <c r="J58" s="18"/>
    </row>
    <row r="59" ht="20.35" customHeight="1">
      <c r="A59" s="19"/>
      <c r="B59" s="7"/>
      <c r="C59" s="18"/>
      <c r="D59" s="18"/>
      <c r="E59" s="18"/>
      <c r="F59" s="18"/>
      <c r="G59" s="18"/>
      <c r="H59" s="18"/>
      <c r="I59" s="18"/>
      <c r="J59" s="18"/>
    </row>
    <row r="60" ht="20.35" customHeight="1">
      <c r="A60" s="19"/>
      <c r="B60" s="7"/>
      <c r="C60" s="18"/>
      <c r="D60" s="18"/>
      <c r="E60" s="18"/>
      <c r="F60" s="18"/>
      <c r="G60" s="18"/>
      <c r="H60" s="18"/>
      <c r="I60" s="18"/>
      <c r="J60" s="18"/>
    </row>
    <row r="61" ht="20.35" customHeight="1">
      <c r="A61" s="19"/>
      <c r="B61" s="7"/>
      <c r="C61" s="18"/>
      <c r="D61" s="18"/>
      <c r="E61" s="18"/>
      <c r="F61" s="18"/>
      <c r="G61" s="18"/>
      <c r="H61" s="18"/>
      <c r="I61" s="18"/>
      <c r="J61" s="18"/>
    </row>
    <row r="62" ht="20.35" customHeight="1">
      <c r="A62" s="19"/>
      <c r="B62" s="7"/>
      <c r="C62" s="18"/>
      <c r="D62" s="18"/>
      <c r="E62" s="18"/>
      <c r="F62" s="18"/>
      <c r="G62" s="18"/>
      <c r="H62" s="18"/>
      <c r="I62" s="18"/>
      <c r="J62" s="18"/>
    </row>
    <row r="63" ht="20.35" customHeight="1">
      <c r="A63" s="19"/>
      <c r="B63" s="7"/>
      <c r="C63" s="18"/>
      <c r="D63" s="18"/>
      <c r="E63" s="18"/>
      <c r="F63" s="18"/>
      <c r="G63" s="18"/>
      <c r="H63" s="18"/>
      <c r="I63" s="18"/>
      <c r="J63" s="18"/>
    </row>
    <row r="64" ht="20.35" customHeight="1">
      <c r="A64" s="19"/>
      <c r="B64" s="7"/>
      <c r="C64" s="18"/>
      <c r="D64" s="18"/>
      <c r="E64" s="18"/>
      <c r="F64" s="18"/>
      <c r="G64" s="18"/>
      <c r="H64" s="18"/>
      <c r="I64" s="18"/>
      <c r="J64" s="18"/>
    </row>
    <row r="65" ht="20.35" customHeight="1">
      <c r="A65" s="19"/>
      <c r="B65" s="7"/>
      <c r="C65" s="18"/>
      <c r="D65" s="18"/>
      <c r="E65" s="18"/>
      <c r="F65" s="18"/>
      <c r="G65" s="18"/>
      <c r="H65" s="18"/>
      <c r="I65" s="18"/>
      <c r="J65" s="18"/>
    </row>
    <row r="66" ht="20.35" customHeight="1">
      <c r="A66" s="19"/>
      <c r="B66" s="7"/>
      <c r="C66" s="18"/>
      <c r="D66" s="18"/>
      <c r="E66" s="18"/>
      <c r="F66" s="18"/>
      <c r="G66" s="18"/>
      <c r="H66" s="18"/>
      <c r="I66" s="18"/>
      <c r="J66" s="18"/>
    </row>
    <row r="67" ht="20.35" customHeight="1">
      <c r="A67" s="19"/>
      <c r="B67" s="7"/>
      <c r="C67" s="18"/>
      <c r="D67" s="18"/>
      <c r="E67" s="18"/>
      <c r="F67" s="18"/>
      <c r="G67" s="18"/>
      <c r="H67" s="18"/>
      <c r="I67" s="18"/>
      <c r="J67" s="18"/>
    </row>
    <row r="68" ht="20.35" customHeight="1">
      <c r="A68" s="19"/>
      <c r="B68" s="7"/>
      <c r="C68" s="18"/>
      <c r="D68" s="18"/>
      <c r="E68" s="18"/>
      <c r="F68" s="18"/>
      <c r="G68" s="18"/>
      <c r="H68" s="18"/>
      <c r="I68" s="18"/>
      <c r="J68" s="18"/>
    </row>
    <row r="69" ht="20.35" customHeight="1">
      <c r="A69" s="19"/>
      <c r="B69" s="7"/>
      <c r="C69" s="18"/>
      <c r="D69" s="18"/>
      <c r="E69" s="18"/>
      <c r="F69" s="18"/>
      <c r="G69" s="18"/>
      <c r="H69" s="18"/>
      <c r="I69" s="18"/>
      <c r="J69" s="18"/>
    </row>
    <row r="70" ht="20.35" customHeight="1">
      <c r="A70" s="19"/>
      <c r="B70" s="7"/>
      <c r="C70" s="18"/>
      <c r="D70" s="18"/>
      <c r="E70" s="18"/>
      <c r="F70" s="18"/>
      <c r="G70" s="18"/>
      <c r="H70" s="18"/>
      <c r="I70" s="18"/>
      <c r="J70" s="18"/>
    </row>
    <row r="71" ht="20.35" customHeight="1">
      <c r="A71" s="19"/>
      <c r="B71" s="7"/>
      <c r="C71" s="18"/>
      <c r="D71" s="18"/>
      <c r="E71" s="18"/>
      <c r="F71" s="18"/>
      <c r="G71" s="18"/>
      <c r="H71" s="18"/>
      <c r="I71" s="18"/>
      <c r="J71" s="18"/>
    </row>
    <row r="72" ht="20.35" customHeight="1">
      <c r="A72" s="19"/>
      <c r="B72" s="7"/>
      <c r="C72" s="18"/>
      <c r="D72" s="18"/>
      <c r="E72" s="18"/>
      <c r="F72" s="18"/>
      <c r="G72" s="18"/>
      <c r="H72" s="18"/>
      <c r="I72" s="18"/>
      <c r="J72" s="18"/>
    </row>
    <row r="73" ht="20.35" customHeight="1">
      <c r="A73" s="19"/>
      <c r="B73" s="7"/>
      <c r="C73" s="18"/>
      <c r="D73" s="18"/>
      <c r="E73" s="18"/>
      <c r="F73" s="18"/>
      <c r="G73" s="18"/>
      <c r="H73" s="18"/>
      <c r="I73" s="18"/>
      <c r="J73" s="18"/>
    </row>
    <row r="74" ht="20.35" customHeight="1">
      <c r="A74" s="19"/>
      <c r="B74" s="7"/>
      <c r="C74" s="18"/>
      <c r="D74" s="18"/>
      <c r="E74" s="18"/>
      <c r="F74" s="18"/>
      <c r="G74" s="18"/>
      <c r="H74" s="18"/>
      <c r="I74" s="18"/>
      <c r="J74" s="18"/>
    </row>
    <row r="75" ht="20.35" customHeight="1">
      <c r="A75" s="19"/>
      <c r="B75" s="7"/>
      <c r="C75" s="18"/>
      <c r="D75" s="18"/>
      <c r="E75" s="18"/>
      <c r="F75" s="18"/>
      <c r="G75" s="18"/>
      <c r="H75" s="18"/>
      <c r="I75" s="18"/>
      <c r="J75" s="18"/>
    </row>
    <row r="76" ht="20.35" customHeight="1">
      <c r="A76" s="19"/>
      <c r="B76" s="7"/>
      <c r="C76" s="18"/>
      <c r="D76" s="18"/>
      <c r="E76" s="18"/>
      <c r="F76" s="18"/>
      <c r="G76" s="18"/>
      <c r="H76" s="18"/>
      <c r="I76" s="18"/>
      <c r="J76" s="18"/>
    </row>
    <row r="77" ht="20.35" customHeight="1">
      <c r="A77" s="19"/>
      <c r="B77" s="7"/>
      <c r="C77" s="18"/>
      <c r="D77" s="18"/>
      <c r="E77" s="18"/>
      <c r="F77" s="18"/>
      <c r="G77" s="18"/>
      <c r="H77" s="18"/>
      <c r="I77" s="18"/>
      <c r="J77" s="18"/>
    </row>
    <row r="78" ht="20.35" customHeight="1">
      <c r="A78" s="19"/>
      <c r="B78" s="7"/>
      <c r="C78" s="18"/>
      <c r="D78" s="18"/>
      <c r="E78" s="18"/>
      <c r="F78" s="18"/>
      <c r="G78" s="18"/>
      <c r="H78" s="18"/>
      <c r="I78" s="18"/>
      <c r="J78" s="18"/>
    </row>
    <row r="79" ht="20.35" customHeight="1">
      <c r="A79" s="19"/>
      <c r="B79" s="7"/>
      <c r="C79" s="18"/>
      <c r="D79" s="18"/>
      <c r="E79" s="18"/>
      <c r="F79" s="18"/>
      <c r="G79" s="18"/>
      <c r="H79" s="18"/>
      <c r="I79" s="18"/>
      <c r="J79" s="18"/>
    </row>
    <row r="80" ht="20.35" customHeight="1">
      <c r="A80" s="19"/>
      <c r="B80" s="7"/>
      <c r="C80" s="18"/>
      <c r="D80" s="18"/>
      <c r="E80" s="18"/>
      <c r="F80" s="18"/>
      <c r="G80" s="18"/>
      <c r="H80" s="18"/>
      <c r="I80" s="18"/>
      <c r="J80" s="18"/>
    </row>
    <row r="81" ht="20.35" customHeight="1">
      <c r="A81" s="19"/>
      <c r="B81" s="7"/>
      <c r="C81" s="18"/>
      <c r="D81" s="18"/>
      <c r="E81" s="18"/>
      <c r="F81" s="18"/>
      <c r="G81" s="18"/>
      <c r="H81" s="18"/>
      <c r="I81" s="18"/>
      <c r="J81" s="18"/>
    </row>
    <row r="82" ht="20.35" customHeight="1">
      <c r="A82" s="19"/>
      <c r="B82" s="7"/>
      <c r="C82" s="18"/>
      <c r="D82" s="18"/>
      <c r="E82" s="18"/>
      <c r="F82" s="18"/>
      <c r="G82" s="18"/>
      <c r="H82" s="18"/>
      <c r="I82" s="18"/>
      <c r="J82" s="18"/>
    </row>
    <row r="83" ht="20.35" customHeight="1">
      <c r="A83" s="19"/>
      <c r="B83" s="7"/>
      <c r="C83" s="18"/>
      <c r="D83" s="18"/>
      <c r="E83" s="18"/>
      <c r="F83" s="18"/>
      <c r="G83" s="18"/>
      <c r="H83" s="18"/>
      <c r="I83" s="18"/>
      <c r="J83" s="18"/>
    </row>
    <row r="84" ht="20.35" customHeight="1">
      <c r="A84" s="19"/>
      <c r="B84" s="7"/>
      <c r="C84" s="18"/>
      <c r="D84" s="18"/>
      <c r="E84" s="18"/>
      <c r="F84" s="18"/>
      <c r="G84" s="18"/>
      <c r="H84" s="18"/>
      <c r="I84" s="18"/>
      <c r="J84" s="18"/>
    </row>
    <row r="85" ht="20.35" customHeight="1">
      <c r="A85" s="19"/>
      <c r="B85" s="7"/>
      <c r="C85" s="18"/>
      <c r="D85" s="18"/>
      <c r="E85" s="18"/>
      <c r="F85" s="18"/>
      <c r="G85" s="18"/>
      <c r="H85" s="18"/>
      <c r="I85" s="18"/>
      <c r="J85" s="18"/>
    </row>
    <row r="86" ht="20.35" customHeight="1">
      <c r="A86" s="19"/>
      <c r="B86" s="7"/>
      <c r="C86" s="18"/>
      <c r="D86" s="18"/>
      <c r="E86" s="18"/>
      <c r="F86" s="18"/>
      <c r="G86" s="18"/>
      <c r="H86" s="18"/>
      <c r="I86" s="18"/>
      <c r="J86" s="18"/>
    </row>
    <row r="87" ht="20.35" customHeight="1">
      <c r="A87" s="19"/>
      <c r="B87" s="7"/>
      <c r="C87" s="18"/>
      <c r="D87" s="18"/>
      <c r="E87" s="18"/>
      <c r="F87" s="18"/>
      <c r="G87" s="18"/>
      <c r="H87" s="18"/>
      <c r="I87" s="18"/>
      <c r="J87" s="18"/>
    </row>
    <row r="88" ht="20.35" customHeight="1">
      <c r="A88" s="19"/>
      <c r="B88" s="7"/>
      <c r="C88" s="18"/>
      <c r="D88" s="18"/>
      <c r="E88" s="18"/>
      <c r="F88" s="18"/>
      <c r="G88" s="18"/>
      <c r="H88" s="18"/>
      <c r="I88" s="18"/>
      <c r="J88" s="18"/>
    </row>
    <row r="89" ht="20.35" customHeight="1">
      <c r="A89" s="19"/>
      <c r="B89" s="7"/>
      <c r="C89" s="18"/>
      <c r="D89" s="18"/>
      <c r="E89" s="18"/>
      <c r="F89" s="18"/>
      <c r="G89" s="18"/>
      <c r="H89" s="18"/>
      <c r="I89" s="18"/>
      <c r="J89" s="18"/>
    </row>
    <row r="90" ht="20.35" customHeight="1">
      <c r="A90" s="19"/>
      <c r="B90" s="7"/>
      <c r="C90" s="18"/>
      <c r="D90" s="18"/>
      <c r="E90" s="18"/>
      <c r="F90" s="18"/>
      <c r="G90" s="18"/>
      <c r="H90" s="18"/>
      <c r="I90" s="18"/>
      <c r="J90" s="18"/>
    </row>
    <row r="91" ht="20.35" customHeight="1">
      <c r="A91" s="19"/>
      <c r="B91" s="7"/>
      <c r="C91" s="18"/>
      <c r="D91" s="18"/>
      <c r="E91" s="18"/>
      <c r="F91" s="18"/>
      <c r="G91" s="18"/>
      <c r="H91" s="18"/>
      <c r="I91" s="18"/>
      <c r="J91" s="18"/>
    </row>
    <row r="92" ht="20.35" customHeight="1">
      <c r="A92" s="19"/>
      <c r="B92" s="7"/>
      <c r="C92" s="18"/>
      <c r="D92" s="18"/>
      <c r="E92" s="18"/>
      <c r="F92" s="18"/>
      <c r="G92" s="18"/>
      <c r="H92" s="18"/>
      <c r="I92" s="18"/>
      <c r="J92" s="18"/>
    </row>
    <row r="93" ht="20.35" customHeight="1">
      <c r="A93" s="19"/>
      <c r="B93" s="7"/>
      <c r="C93" s="18"/>
      <c r="D93" s="18"/>
      <c r="E93" s="18"/>
      <c r="F93" s="18"/>
      <c r="G93" s="18"/>
      <c r="H93" s="18"/>
      <c r="I93" s="18"/>
      <c r="J93" s="18"/>
    </row>
    <row r="94" ht="20.35" customHeight="1">
      <c r="A94" s="19"/>
      <c r="B94" s="7"/>
      <c r="C94" s="18"/>
      <c r="D94" s="18"/>
      <c r="E94" s="18"/>
      <c r="F94" s="18"/>
      <c r="G94" s="18"/>
      <c r="H94" s="18"/>
      <c r="I94" s="18"/>
      <c r="J94" s="18"/>
    </row>
    <row r="95" ht="20.35" customHeight="1">
      <c r="A95" s="19"/>
      <c r="B95" s="7"/>
      <c r="C95" s="18"/>
      <c r="D95" s="18"/>
      <c r="E95" s="18"/>
      <c r="F95" s="18"/>
      <c r="G95" s="18"/>
      <c r="H95" s="18"/>
      <c r="I95" s="18"/>
      <c r="J95" s="18"/>
    </row>
    <row r="96" ht="20.35" customHeight="1">
      <c r="A96" s="19"/>
      <c r="B96" s="7"/>
      <c r="C96" s="18"/>
      <c r="D96" s="18"/>
      <c r="E96" s="18"/>
      <c r="F96" s="18"/>
      <c r="G96" s="18"/>
      <c r="H96" s="18"/>
      <c r="I96" s="18"/>
      <c r="J96" s="18"/>
    </row>
    <row r="97" ht="20.35" customHeight="1">
      <c r="A97" s="19"/>
      <c r="B97" s="7"/>
      <c r="C97" s="18"/>
      <c r="D97" s="18"/>
      <c r="E97" s="18"/>
      <c r="F97" s="18"/>
      <c r="G97" s="18"/>
      <c r="H97" s="18"/>
      <c r="I97" s="18"/>
      <c r="J97" s="18"/>
    </row>
    <row r="98" ht="20.35" customHeight="1">
      <c r="A98" s="19"/>
      <c r="B98" s="7"/>
      <c r="C98" s="18"/>
      <c r="D98" s="18"/>
      <c r="E98" s="18"/>
      <c r="F98" s="18"/>
      <c r="G98" s="18"/>
      <c r="H98" s="18"/>
      <c r="I98" s="18"/>
      <c r="J98" s="18"/>
    </row>
    <row r="99" ht="20.35" customHeight="1">
      <c r="A99" s="19"/>
      <c r="B99" s="7"/>
      <c r="C99" s="18"/>
      <c r="D99" s="18"/>
      <c r="E99" s="18"/>
      <c r="F99" s="18"/>
      <c r="G99" s="18"/>
      <c r="H99" s="18"/>
      <c r="I99" s="18"/>
      <c r="J99" s="18"/>
    </row>
    <row r="100" ht="20.35" customHeight="1">
      <c r="A100" s="19"/>
      <c r="B100" s="7"/>
      <c r="C100" s="18"/>
      <c r="D100" s="18"/>
      <c r="E100" s="18"/>
      <c r="F100" s="18"/>
      <c r="G100" s="18"/>
      <c r="H100" s="18"/>
      <c r="I100" s="18"/>
      <c r="J100" s="18"/>
    </row>
    <row r="101" ht="20.35" customHeight="1">
      <c r="A101" s="19"/>
      <c r="B101" s="7"/>
      <c r="C101" s="18"/>
      <c r="D101" s="18"/>
      <c r="E101" s="18"/>
      <c r="F101" s="18"/>
      <c r="G101" s="18"/>
      <c r="H101" s="18"/>
      <c r="I101" s="18"/>
      <c r="J101" s="18"/>
    </row>
    <row r="102" ht="20.35" customHeight="1">
      <c r="A102" s="19"/>
      <c r="B102" s="7"/>
      <c r="C102" s="18"/>
      <c r="D102" s="18"/>
      <c r="E102" s="18"/>
      <c r="F102" s="18"/>
      <c r="G102" s="18"/>
      <c r="H102" s="18"/>
      <c r="I102" s="18"/>
      <c r="J102" s="18"/>
    </row>
    <row r="103" ht="20.35" customHeight="1">
      <c r="A103" s="19"/>
      <c r="B103" s="7"/>
      <c r="C103" s="18"/>
      <c r="D103" s="18"/>
      <c r="E103" s="18"/>
      <c r="F103" s="18"/>
      <c r="G103" s="18"/>
      <c r="H103" s="18"/>
      <c r="I103" s="18"/>
      <c r="J103" s="18"/>
    </row>
    <row r="104" ht="20.35" customHeight="1">
      <c r="A104" s="19"/>
      <c r="B104" s="7"/>
      <c r="C104" s="18"/>
      <c r="D104" s="18"/>
      <c r="E104" s="18"/>
      <c r="F104" s="18"/>
      <c r="G104" s="18"/>
      <c r="H104" s="18"/>
      <c r="I104" s="18"/>
      <c r="J104" s="18"/>
    </row>
    <row r="105" ht="20.35" customHeight="1">
      <c r="A105" s="19"/>
      <c r="B105" s="7"/>
      <c r="C105" s="18"/>
      <c r="D105" s="18"/>
      <c r="E105" s="18"/>
      <c r="F105" s="18"/>
      <c r="G105" s="18"/>
      <c r="H105" s="18"/>
      <c r="I105" s="18"/>
      <c r="J105" s="18"/>
    </row>
    <row r="106" ht="20.35" customHeight="1">
      <c r="A106" s="19"/>
      <c r="B106" s="7"/>
      <c r="C106" s="18"/>
      <c r="D106" s="18"/>
      <c r="E106" s="18"/>
      <c r="F106" s="18"/>
      <c r="G106" s="18"/>
      <c r="H106" s="18"/>
      <c r="I106" s="18"/>
      <c r="J106" s="18"/>
    </row>
    <row r="107" ht="20.35" customHeight="1">
      <c r="A107" s="19"/>
      <c r="B107" s="7"/>
      <c r="C107" s="18"/>
      <c r="D107" s="18"/>
      <c r="E107" s="18"/>
      <c r="F107" s="18"/>
      <c r="G107" s="18"/>
      <c r="H107" s="18"/>
      <c r="I107" s="18"/>
      <c r="J107" s="18"/>
    </row>
    <row r="108" ht="20.35" customHeight="1">
      <c r="A108" s="19"/>
      <c r="B108" s="7"/>
      <c r="C108" s="18"/>
      <c r="D108" s="18"/>
      <c r="E108" s="18"/>
      <c r="F108" s="18"/>
      <c r="G108" s="18"/>
      <c r="H108" s="18"/>
      <c r="I108" s="18"/>
      <c r="J108" s="18"/>
    </row>
    <row r="109" ht="20.35" customHeight="1">
      <c r="A109" s="19"/>
      <c r="B109" s="7"/>
      <c r="C109" s="18"/>
      <c r="D109" s="18"/>
      <c r="E109" s="18"/>
      <c r="F109" s="18"/>
      <c r="G109" s="18"/>
      <c r="H109" s="18"/>
      <c r="I109" s="18"/>
      <c r="J109" s="18"/>
    </row>
    <row r="110" ht="20.35" customHeight="1">
      <c r="A110" s="19"/>
      <c r="B110" s="7"/>
      <c r="C110" s="18"/>
      <c r="D110" s="18"/>
      <c r="E110" s="18"/>
      <c r="F110" s="18"/>
      <c r="G110" s="18"/>
      <c r="H110" s="18"/>
      <c r="I110" s="18"/>
      <c r="J110" s="18"/>
    </row>
    <row r="111" ht="20.35" customHeight="1">
      <c r="A111" s="19"/>
      <c r="B111" s="7"/>
      <c r="C111" s="18"/>
      <c r="D111" s="18"/>
      <c r="E111" s="18"/>
      <c r="F111" s="18"/>
      <c r="G111" s="18"/>
      <c r="H111" s="18"/>
      <c r="I111" s="18"/>
      <c r="J111" s="18"/>
    </row>
    <row r="112" ht="20.35" customHeight="1">
      <c r="A112" s="19"/>
      <c r="B112" s="7"/>
      <c r="C112" s="18"/>
      <c r="D112" s="18"/>
      <c r="E112" s="18"/>
      <c r="F112" s="18"/>
      <c r="G112" s="18"/>
      <c r="H112" s="18"/>
      <c r="I112" s="18"/>
      <c r="J112" s="18"/>
    </row>
    <row r="113" ht="20.35" customHeight="1">
      <c r="A113" s="19"/>
      <c r="B113" s="7"/>
      <c r="C113" s="18"/>
      <c r="D113" s="18"/>
      <c r="E113" s="18"/>
      <c r="F113" s="18"/>
      <c r="G113" s="18"/>
      <c r="H113" s="18"/>
      <c r="I113" s="18"/>
      <c r="J113" s="18"/>
    </row>
    <row r="114" ht="20.35" customHeight="1">
      <c r="A114" s="19"/>
      <c r="B114" s="7"/>
      <c r="C114" s="18"/>
      <c r="D114" s="18"/>
      <c r="E114" s="18"/>
      <c r="F114" s="18"/>
      <c r="G114" s="18"/>
      <c r="H114" s="18"/>
      <c r="I114" s="18"/>
      <c r="J114" s="18"/>
    </row>
    <row r="115" ht="20.35" customHeight="1">
      <c r="A115" s="19"/>
      <c r="B115" s="7"/>
      <c r="C115" s="18"/>
      <c r="D115" s="18"/>
      <c r="E115" s="18"/>
      <c r="F115" s="18"/>
      <c r="G115" s="18"/>
      <c r="H115" s="18"/>
      <c r="I115" s="18"/>
      <c r="J115" s="18"/>
    </row>
    <row r="116" ht="20.35" customHeight="1">
      <c r="A116" s="19"/>
      <c r="B116" s="7"/>
      <c r="C116" s="18"/>
      <c r="D116" s="18"/>
      <c r="E116" s="18"/>
      <c r="F116" s="18"/>
      <c r="G116" s="18"/>
      <c r="H116" s="18"/>
      <c r="I116" s="18"/>
      <c r="J116" s="18"/>
    </row>
    <row r="117" ht="20.35" customHeight="1">
      <c r="A117" s="19"/>
      <c r="B117" s="7"/>
      <c r="C117" s="18"/>
      <c r="D117" s="18"/>
      <c r="E117" s="18"/>
      <c r="F117" s="18"/>
      <c r="G117" s="18"/>
      <c r="H117" s="18"/>
      <c r="I117" s="18"/>
      <c r="J117" s="18"/>
    </row>
    <row r="118" ht="20.35" customHeight="1">
      <c r="A118" s="19"/>
      <c r="B118" s="7"/>
      <c r="C118" s="18"/>
      <c r="D118" s="18"/>
      <c r="E118" s="18"/>
      <c r="F118" s="18"/>
      <c r="G118" s="18"/>
      <c r="H118" s="18"/>
      <c r="I118" s="18"/>
      <c r="J118" s="18"/>
    </row>
    <row r="119" ht="20.35" customHeight="1">
      <c r="A119" s="19"/>
      <c r="B119" s="7"/>
      <c r="C119" s="18"/>
      <c r="D119" s="18"/>
      <c r="E119" s="18"/>
      <c r="F119" s="18"/>
      <c r="G119" s="18"/>
      <c r="H119" s="18"/>
      <c r="I119" s="18"/>
      <c r="J119" s="18"/>
    </row>
    <row r="120" ht="20.35" customHeight="1">
      <c r="A120" s="19"/>
      <c r="B120" s="7"/>
      <c r="C120" s="18"/>
      <c r="D120" s="18"/>
      <c r="E120" s="18"/>
      <c r="F120" s="18"/>
      <c r="G120" s="18"/>
      <c r="H120" s="18"/>
      <c r="I120" s="18"/>
      <c r="J120" s="18"/>
    </row>
    <row r="121" ht="20.35" customHeight="1">
      <c r="A121" s="19"/>
      <c r="B121" s="7"/>
      <c r="C121" s="18"/>
      <c r="D121" s="18"/>
      <c r="E121" s="18"/>
      <c r="F121" s="18"/>
      <c r="G121" s="18"/>
      <c r="H121" s="18"/>
      <c r="I121" s="18"/>
      <c r="J121" s="18"/>
    </row>
    <row r="122" ht="20.35" customHeight="1">
      <c r="A122" s="19"/>
      <c r="B122" s="7"/>
      <c r="C122" s="18"/>
      <c r="D122" s="18"/>
      <c r="E122" s="18"/>
      <c r="F122" s="18"/>
      <c r="G122" s="18"/>
      <c r="H122" s="18"/>
      <c r="I122" s="18"/>
      <c r="J122" s="18"/>
    </row>
    <row r="123" ht="20.35" customHeight="1">
      <c r="A123" s="19"/>
      <c r="B123" s="7"/>
      <c r="C123" s="18"/>
      <c r="D123" s="18"/>
      <c r="E123" s="18"/>
      <c r="F123" s="18"/>
      <c r="G123" s="18"/>
      <c r="H123" s="18"/>
      <c r="I123" s="18"/>
      <c r="J123" s="18"/>
    </row>
    <row r="124" ht="20.35" customHeight="1">
      <c r="A124" s="19"/>
      <c r="B124" s="7"/>
      <c r="C124" s="18"/>
      <c r="D124" s="18"/>
      <c r="E124" s="18"/>
      <c r="F124" s="18"/>
      <c r="G124" s="18"/>
      <c r="H124" s="18"/>
      <c r="I124" s="18"/>
      <c r="J124" s="18"/>
    </row>
    <row r="125" ht="20.35" customHeight="1">
      <c r="A125" s="19"/>
      <c r="B125" s="7"/>
      <c r="C125" s="18"/>
      <c r="D125" s="18"/>
      <c r="E125" s="18"/>
      <c r="F125" s="18"/>
      <c r="G125" s="18"/>
      <c r="H125" s="18"/>
      <c r="I125" s="18"/>
      <c r="J125" s="18"/>
    </row>
    <row r="126" ht="20.35" customHeight="1">
      <c r="A126" s="19"/>
      <c r="B126" s="7"/>
      <c r="C126" s="18"/>
      <c r="D126" s="18"/>
      <c r="E126" s="18"/>
      <c r="F126" s="18"/>
      <c r="G126" s="18"/>
      <c r="H126" s="18"/>
      <c r="I126" s="18"/>
      <c r="J126" s="18"/>
    </row>
    <row r="127" ht="20.35" customHeight="1">
      <c r="A127" s="19"/>
      <c r="B127" s="7"/>
      <c r="C127" s="18"/>
      <c r="D127" s="18"/>
      <c r="E127" s="18"/>
      <c r="F127" s="18"/>
      <c r="G127" s="18"/>
      <c r="H127" s="18"/>
      <c r="I127" s="18"/>
      <c r="J127" s="18"/>
    </row>
    <row r="128" ht="20.35" customHeight="1">
      <c r="A128" s="19"/>
      <c r="B128" s="7"/>
      <c r="C128" s="18"/>
      <c r="D128" s="18"/>
      <c r="E128" s="18"/>
      <c r="F128" s="18"/>
      <c r="G128" s="18"/>
      <c r="H128" s="18"/>
      <c r="I128" s="18"/>
      <c r="J128" s="18"/>
    </row>
    <row r="129" ht="20.35" customHeight="1">
      <c r="A129" s="19"/>
      <c r="B129" s="7"/>
      <c r="C129" s="18"/>
      <c r="D129" s="18"/>
      <c r="E129" s="18"/>
      <c r="F129" s="18"/>
      <c r="G129" s="18"/>
      <c r="H129" s="18"/>
      <c r="I129" s="18"/>
      <c r="J129" s="18"/>
    </row>
    <row r="130" ht="20.35" customHeight="1">
      <c r="A130" s="19"/>
      <c r="B130" s="7"/>
      <c r="C130" s="18"/>
      <c r="D130" s="18"/>
      <c r="E130" s="18"/>
      <c r="F130" s="18"/>
      <c r="G130" s="18"/>
      <c r="H130" s="18"/>
      <c r="I130" s="18"/>
      <c r="J130" s="18"/>
    </row>
    <row r="131" ht="20.35" customHeight="1">
      <c r="A131" s="19"/>
      <c r="B131" s="7"/>
      <c r="C131" s="18"/>
      <c r="D131" s="18"/>
      <c r="E131" s="18"/>
      <c r="F131" s="18"/>
      <c r="G131" s="18"/>
      <c r="H131" s="18"/>
      <c r="I131" s="18"/>
      <c r="J131" s="18"/>
    </row>
    <row r="132" ht="20.35" customHeight="1">
      <c r="A132" s="19"/>
      <c r="B132" s="7"/>
      <c r="C132" s="18"/>
      <c r="D132" s="18"/>
      <c r="E132" s="18"/>
      <c r="F132" s="18"/>
      <c r="G132" s="18"/>
      <c r="H132" s="18"/>
      <c r="I132" s="18"/>
      <c r="J132" s="18"/>
    </row>
    <row r="133" ht="20.35" customHeight="1">
      <c r="A133" s="19"/>
      <c r="B133" s="7"/>
      <c r="C133" s="18"/>
      <c r="D133" s="18"/>
      <c r="E133" s="18"/>
      <c r="F133" s="18"/>
      <c r="G133" s="18"/>
      <c r="H133" s="18"/>
      <c r="I133" s="18"/>
      <c r="J133" s="18"/>
    </row>
    <row r="134" ht="20.35" customHeight="1">
      <c r="A134" s="19"/>
      <c r="B134" s="7"/>
      <c r="C134" s="18"/>
      <c r="D134" s="18"/>
      <c r="E134" s="18"/>
      <c r="F134" s="18"/>
      <c r="G134" s="18"/>
      <c r="H134" s="18"/>
      <c r="I134" s="18"/>
      <c r="J134" s="18"/>
    </row>
    <row r="135" ht="20.35" customHeight="1">
      <c r="A135" s="19"/>
      <c r="B135" s="7"/>
      <c r="C135" s="18"/>
      <c r="D135" s="18"/>
      <c r="E135" s="18"/>
      <c r="F135" s="18"/>
      <c r="G135" s="18"/>
      <c r="H135" s="18"/>
      <c r="I135" s="18"/>
      <c r="J135" s="18"/>
    </row>
    <row r="136" ht="20.35" customHeight="1">
      <c r="A136" s="19"/>
      <c r="B136" s="7"/>
      <c r="C136" s="18"/>
      <c r="D136" s="18"/>
      <c r="E136" s="18"/>
      <c r="F136" s="18"/>
      <c r="G136" s="18"/>
      <c r="H136" s="18"/>
      <c r="I136" s="18"/>
      <c r="J136" s="18"/>
    </row>
    <row r="137" ht="20.35" customHeight="1">
      <c r="A137" s="19"/>
      <c r="B137" s="7"/>
      <c r="C137" s="18"/>
      <c r="D137" s="18"/>
      <c r="E137" s="18"/>
      <c r="F137" s="18"/>
      <c r="G137" s="18"/>
      <c r="H137" s="18"/>
      <c r="I137" s="18"/>
      <c r="J137" s="18"/>
    </row>
    <row r="138" ht="20.35" customHeight="1">
      <c r="A138" s="19"/>
      <c r="B138" s="7"/>
      <c r="C138" s="18"/>
      <c r="D138" s="18"/>
      <c r="E138" s="18"/>
      <c r="F138" s="18"/>
      <c r="G138" s="18"/>
      <c r="H138" s="18"/>
      <c r="I138" s="18"/>
      <c r="J138" s="18"/>
    </row>
    <row r="139" ht="20.35" customHeight="1">
      <c r="A139" s="19"/>
      <c r="B139" s="7"/>
      <c r="C139" s="18"/>
      <c r="D139" s="18"/>
      <c r="E139" s="18"/>
      <c r="F139" s="18"/>
      <c r="G139" s="18"/>
      <c r="H139" s="18"/>
      <c r="I139" s="18"/>
      <c r="J139" s="18"/>
    </row>
    <row r="140" ht="20.35" customHeight="1">
      <c r="A140" s="19"/>
      <c r="B140" s="7"/>
      <c r="C140" s="18"/>
      <c r="D140" s="18"/>
      <c r="E140" s="18"/>
      <c r="F140" s="18"/>
      <c r="G140" s="18"/>
      <c r="H140" s="18"/>
      <c r="I140" s="18"/>
      <c r="J140" s="18"/>
    </row>
    <row r="141" ht="20.35" customHeight="1">
      <c r="A141" s="19"/>
      <c r="B141" s="7"/>
      <c r="C141" s="18"/>
      <c r="D141" s="18"/>
      <c r="E141" s="18"/>
      <c r="F141" s="18"/>
      <c r="G141" s="18"/>
      <c r="H141" s="18"/>
      <c r="I141" s="18"/>
      <c r="J141" s="18"/>
    </row>
    <row r="142" ht="20.35" customHeight="1">
      <c r="A142" s="19"/>
      <c r="B142" s="7"/>
      <c r="C142" s="18"/>
      <c r="D142" s="18"/>
      <c r="E142" s="18"/>
      <c r="F142" s="18"/>
      <c r="G142" s="18"/>
      <c r="H142" s="18"/>
      <c r="I142" s="18"/>
      <c r="J142" s="18"/>
    </row>
    <row r="143" ht="20.35" customHeight="1">
      <c r="A143" s="19"/>
      <c r="B143" s="20"/>
      <c r="C143" s="18"/>
      <c r="D143" s="18"/>
      <c r="E143" s="18"/>
      <c r="F143" s="18"/>
      <c r="G143" s="18"/>
      <c r="H143" s="18"/>
      <c r="I143" s="18"/>
      <c r="J143" s="18"/>
    </row>
  </sheetData>
  <mergeCells count="1">
    <mergeCell ref="A1:J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21"/>
  <sheetViews>
    <sheetView workbookViewId="0" showGridLines="0" defaultGridColor="1">
      <pane topLeftCell="B2" xSplit="1" ySplit="1" activePane="bottomRight" state="frozen"/>
    </sheetView>
  </sheetViews>
  <sheetFormatPr defaultColWidth="12.25" defaultRowHeight="16.55" customHeight="1" outlineLevelRow="0" outlineLevelCol="0"/>
  <cols>
    <col min="1" max="1" width="12.25" style="21" customWidth="1"/>
    <col min="2" max="2" width="6.78125" style="21" customWidth="1"/>
    <col min="3" max="3" width="12.25" style="21" customWidth="1"/>
    <col min="4" max="4" width="4.20312" style="21" customWidth="1"/>
    <col min="5" max="5" width="7.89062" style="21" customWidth="1"/>
    <col min="6" max="7" width="12.25" style="21" customWidth="1"/>
    <col min="8" max="8" width="4.21875" style="21" customWidth="1"/>
    <col min="9" max="13" width="12.25" style="21" customWidth="1"/>
    <col min="14" max="16384" width="12.25" style="21" customWidth="1"/>
  </cols>
  <sheetData>
    <row r="1" ht="18" customHeight="1">
      <c r="A1" s="6"/>
      <c r="B1" s="22"/>
      <c r="C1" s="8"/>
      <c r="D1" s="9"/>
      <c r="E1" s="23"/>
      <c r="F1" s="9"/>
      <c r="G1" s="9"/>
      <c r="H1" s="6"/>
      <c r="I1" s="10"/>
      <c r="J1" s="10"/>
      <c r="K1" s="10"/>
      <c r="L1" s="6"/>
      <c r="M1" s="6"/>
    </row>
    <row r="2" ht="33.5" customHeight="1">
      <c r="A2" t="s" s="11">
        <v>1</v>
      </c>
      <c r="B2" s="24"/>
      <c r="C2" t="s" s="12">
        <v>2</v>
      </c>
      <c r="D2" t="s" s="25">
        <v>30</v>
      </c>
      <c r="E2" t="s" s="26">
        <v>31</v>
      </c>
      <c r="F2" t="s" s="25">
        <v>32</v>
      </c>
      <c r="G2" t="s" s="25">
        <v>33</v>
      </c>
      <c r="H2" s="27"/>
      <c r="I2" t="s" s="28">
        <v>34</v>
      </c>
      <c r="J2" t="s" s="28">
        <v>35</v>
      </c>
      <c r="K2" t="s" s="28">
        <v>36</v>
      </c>
      <c r="L2" s="27"/>
      <c r="M2" s="27"/>
    </row>
    <row r="3" ht="19" customHeight="1">
      <c r="A3" t="s" s="15">
        <v>37</v>
      </c>
      <c r="B3" s="29"/>
      <c r="C3" t="s" s="30">
        <v>8</v>
      </c>
      <c r="D3" s="31">
        <v>1</v>
      </c>
      <c r="E3" s="32">
        <v>22.7</v>
      </c>
      <c r="F3" s="33">
        <f>D3*E3</f>
        <v>22.7</v>
      </c>
      <c r="G3" s="33">
        <f>F3-(F3/10)</f>
        <v>20.43</v>
      </c>
      <c r="H3" s="33"/>
      <c r="I3" s="33">
        <v>20</v>
      </c>
      <c r="J3" s="33">
        <f>D3*I3</f>
        <v>20</v>
      </c>
      <c r="K3" s="33">
        <v>15</v>
      </c>
      <c r="L3" s="33">
        <f>D3*K3</f>
        <v>15</v>
      </c>
      <c r="M3" s="34"/>
    </row>
    <row r="4" ht="19" customHeight="1">
      <c r="A4" t="s" s="15">
        <v>38</v>
      </c>
      <c r="B4" s="29"/>
      <c r="C4" t="s" s="30">
        <v>9</v>
      </c>
      <c r="D4" s="31">
        <v>1</v>
      </c>
      <c r="E4" s="32">
        <v>44.2</v>
      </c>
      <c r="F4" s="33">
        <f>D4*E4</f>
        <v>44.2</v>
      </c>
      <c r="G4" s="33">
        <f>F4-(F4/10)</f>
        <v>39.78</v>
      </c>
      <c r="H4" s="33"/>
      <c r="I4" s="33">
        <v>42</v>
      </c>
      <c r="J4" s="33">
        <f>D4*I4</f>
        <v>42</v>
      </c>
      <c r="K4" s="33">
        <v>29.5</v>
      </c>
      <c r="L4" s="33">
        <f>D4*K4</f>
        <v>29.5</v>
      </c>
      <c r="M4" s="34"/>
    </row>
    <row r="5" ht="28" customHeight="1">
      <c r="A5" s="19"/>
      <c r="B5" s="29"/>
      <c r="C5" t="s" s="30">
        <v>10</v>
      </c>
      <c r="D5" s="31">
        <v>1</v>
      </c>
      <c r="E5" s="32">
        <v>39.5</v>
      </c>
      <c r="F5" s="33">
        <f>D5*E5</f>
        <v>39.5</v>
      </c>
      <c r="G5" s="33">
        <f>F5-(F5/10)</f>
        <v>35.55</v>
      </c>
      <c r="H5" s="33"/>
      <c r="I5" s="33">
        <v>39</v>
      </c>
      <c r="J5" s="33">
        <f>D5*I5</f>
        <v>39</v>
      </c>
      <c r="K5" s="33">
        <v>26.5</v>
      </c>
      <c r="L5" s="33">
        <f>D5*K5</f>
        <v>26.5</v>
      </c>
      <c r="M5" s="34"/>
    </row>
    <row r="6" ht="19" customHeight="1">
      <c r="A6" s="19"/>
      <c r="B6" s="29"/>
      <c r="C6" t="s" s="30">
        <v>11</v>
      </c>
      <c r="D6" s="31">
        <v>1</v>
      </c>
      <c r="E6" s="32">
        <v>27.5</v>
      </c>
      <c r="F6" s="33">
        <f>D6*E6</f>
        <v>27.5</v>
      </c>
      <c r="G6" s="33">
        <f>F6-(F6/10)</f>
        <v>24.75</v>
      </c>
      <c r="H6" s="33"/>
      <c r="I6" s="33">
        <v>25</v>
      </c>
      <c r="J6" s="33">
        <f>D6*I6</f>
        <v>25</v>
      </c>
      <c r="K6" s="33">
        <v>17.5</v>
      </c>
      <c r="L6" s="33">
        <f>D6*K6</f>
        <v>17.5</v>
      </c>
      <c r="M6" s="34"/>
    </row>
    <row r="7" ht="19" customHeight="1">
      <c r="A7" s="19"/>
      <c r="B7" s="29"/>
      <c r="C7" t="s" s="30">
        <v>12</v>
      </c>
      <c r="D7" s="31">
        <v>1</v>
      </c>
      <c r="E7" s="32">
        <v>9.5</v>
      </c>
      <c r="F7" s="33">
        <f>D7*E7</f>
        <v>9.5</v>
      </c>
      <c r="G7" s="33">
        <f>F7-(F7/10)</f>
        <v>8.550000000000001</v>
      </c>
      <c r="H7" s="33"/>
      <c r="I7" s="33">
        <v>7.5</v>
      </c>
      <c r="J7" s="33">
        <f>D7*I7</f>
        <v>7.5</v>
      </c>
      <c r="K7" s="33">
        <v>5.3</v>
      </c>
      <c r="L7" s="33">
        <f>D7*K7</f>
        <v>5.3</v>
      </c>
      <c r="M7" s="34"/>
    </row>
    <row r="8" ht="19" customHeight="1">
      <c r="A8" s="19"/>
      <c r="B8" s="29"/>
      <c r="C8" t="s" s="30">
        <v>15</v>
      </c>
      <c r="D8" s="31">
        <v>1</v>
      </c>
      <c r="E8" s="32">
        <v>39.5</v>
      </c>
      <c r="F8" s="33">
        <f>D8*E8</f>
        <v>39.5</v>
      </c>
      <c r="G8" s="33">
        <f>F8-(F8/10)</f>
        <v>35.55</v>
      </c>
      <c r="H8" s="33"/>
      <c r="I8" s="33">
        <v>30</v>
      </c>
      <c r="J8" s="33">
        <f>D8*I8</f>
        <v>30</v>
      </c>
      <c r="K8" s="33">
        <v>22.5</v>
      </c>
      <c r="L8" s="33">
        <f>D8*K8</f>
        <v>22.5</v>
      </c>
      <c r="M8" s="34"/>
    </row>
    <row r="9" ht="19" customHeight="1">
      <c r="A9" s="19"/>
      <c r="B9" s="29"/>
      <c r="C9" t="s" s="30">
        <v>20</v>
      </c>
      <c r="D9" s="31">
        <v>1</v>
      </c>
      <c r="E9" s="32">
        <v>29.1</v>
      </c>
      <c r="F9" s="33">
        <f>D9*E9</f>
        <v>29.1</v>
      </c>
      <c r="G9" s="33">
        <f>F9-(F9/10)</f>
        <v>26.19</v>
      </c>
      <c r="H9" s="33"/>
      <c r="I9" s="33">
        <v>24</v>
      </c>
      <c r="J9" s="33">
        <f>D9*I9</f>
        <v>24</v>
      </c>
      <c r="K9" s="33">
        <v>16.8</v>
      </c>
      <c r="L9" s="33">
        <f>D9*K9</f>
        <v>16.8</v>
      </c>
      <c r="M9" s="31">
        <v>24</v>
      </c>
    </row>
    <row r="10" ht="19" customHeight="1">
      <c r="A10" s="19"/>
      <c r="B10" s="29"/>
      <c r="C10" t="s" s="30">
        <v>21</v>
      </c>
      <c r="D10" s="31">
        <v>1</v>
      </c>
      <c r="E10" s="32">
        <v>44.5</v>
      </c>
      <c r="F10" s="33">
        <f>D10*E10</f>
        <v>44.5</v>
      </c>
      <c r="G10" s="33">
        <f>F10-(F10/10)</f>
        <v>40.05</v>
      </c>
      <c r="H10" s="33"/>
      <c r="I10" s="33">
        <v>42</v>
      </c>
      <c r="J10" s="33">
        <f>D10*I10</f>
        <v>42</v>
      </c>
      <c r="K10" s="33">
        <v>31.5</v>
      </c>
      <c r="L10" s="33">
        <f>D10*K10</f>
        <v>31.5</v>
      </c>
      <c r="M10" s="34"/>
    </row>
    <row r="11" ht="19" customHeight="1">
      <c r="A11" s="19"/>
      <c r="B11" s="29"/>
      <c r="C11" t="s" s="30">
        <v>22</v>
      </c>
      <c r="D11" s="31">
        <v>1</v>
      </c>
      <c r="E11" s="32">
        <v>34.9</v>
      </c>
      <c r="F11" s="33">
        <f>D11*E11</f>
        <v>34.9</v>
      </c>
      <c r="G11" s="33">
        <f>F11-(F11/10)</f>
        <v>31.41</v>
      </c>
      <c r="H11" s="33"/>
      <c r="I11" s="33">
        <v>35</v>
      </c>
      <c r="J11" s="33">
        <f>D11*I11</f>
        <v>35</v>
      </c>
      <c r="K11" s="33">
        <v>25.5</v>
      </c>
      <c r="L11" s="33">
        <f>D11*K11</f>
        <v>25.5</v>
      </c>
      <c r="M11" s="34"/>
    </row>
    <row r="12" ht="19" customHeight="1">
      <c r="A12" s="19"/>
      <c r="B12" s="29"/>
      <c r="C12" t="s" s="30">
        <v>23</v>
      </c>
      <c r="D12" s="31">
        <v>1</v>
      </c>
      <c r="E12" s="32">
        <v>27.5</v>
      </c>
      <c r="F12" s="33">
        <f>D12*E12</f>
        <v>27.5</v>
      </c>
      <c r="G12" s="33">
        <f>F12-(F12/10)</f>
        <v>24.75</v>
      </c>
      <c r="H12" s="33"/>
      <c r="I12" s="33">
        <v>32.5</v>
      </c>
      <c r="J12" s="33">
        <f>D12*I12</f>
        <v>32.5</v>
      </c>
      <c r="K12" s="33">
        <v>23</v>
      </c>
      <c r="L12" s="33">
        <f>D12*K12</f>
        <v>23</v>
      </c>
      <c r="M12" s="34"/>
    </row>
    <row r="13" ht="19" customHeight="1">
      <c r="A13" s="19"/>
      <c r="B13" s="29"/>
      <c r="C13" t="s" s="30">
        <v>24</v>
      </c>
      <c r="D13" s="31">
        <v>1</v>
      </c>
      <c r="E13" s="32">
        <v>21.7</v>
      </c>
      <c r="F13" s="33">
        <f>D13*E13</f>
        <v>21.7</v>
      </c>
      <c r="G13" s="33">
        <f>F13-(F13/10)</f>
        <v>19.53</v>
      </c>
      <c r="H13" s="33"/>
      <c r="I13" s="33">
        <v>19</v>
      </c>
      <c r="J13" s="33">
        <f>D13*I13</f>
        <v>19</v>
      </c>
      <c r="K13" s="33">
        <v>13.3</v>
      </c>
      <c r="L13" s="33">
        <f>D13*K13</f>
        <v>13.3</v>
      </c>
      <c r="M13" s="34"/>
    </row>
    <row r="14" ht="19" customHeight="1">
      <c r="A14" s="19"/>
      <c r="B14" s="29"/>
      <c r="C14" t="s" s="30">
        <v>26</v>
      </c>
      <c r="D14" s="31">
        <v>1</v>
      </c>
      <c r="E14" s="32">
        <v>22.2</v>
      </c>
      <c r="F14" s="33">
        <f>D14*E14</f>
        <v>22.2</v>
      </c>
      <c r="G14" s="33">
        <f>F14-(F14/10)</f>
        <v>19.98</v>
      </c>
      <c r="H14" s="33"/>
      <c r="I14" s="33">
        <v>17</v>
      </c>
      <c r="J14" s="33">
        <f>D14*I14</f>
        <v>17</v>
      </c>
      <c r="K14" s="33">
        <v>12.75</v>
      </c>
      <c r="L14" s="33">
        <f>D14*K14</f>
        <v>12.75</v>
      </c>
      <c r="M14" s="31">
        <v>22.5</v>
      </c>
    </row>
    <row r="15" ht="19" customHeight="1">
      <c r="A15" s="19"/>
      <c r="B15" s="29"/>
      <c r="C15" t="s" s="30">
        <v>29</v>
      </c>
      <c r="D15" s="31">
        <v>1</v>
      </c>
      <c r="E15" s="32">
        <v>25.9</v>
      </c>
      <c r="F15" s="33">
        <f>D15*E15</f>
        <v>25.9</v>
      </c>
      <c r="G15" s="33">
        <f>F15-(F15/10)</f>
        <v>23.31</v>
      </c>
      <c r="H15" s="33"/>
      <c r="I15" s="33">
        <v>22</v>
      </c>
      <c r="J15" s="33">
        <f>D15*I15</f>
        <v>22</v>
      </c>
      <c r="K15" s="33">
        <v>16.5</v>
      </c>
      <c r="L15" s="33">
        <f>D15*K15</f>
        <v>16.5</v>
      </c>
      <c r="M15" s="34"/>
    </row>
    <row r="16" ht="19" customHeight="1">
      <c r="A16" s="19"/>
      <c r="B16" s="29"/>
      <c r="C16" t="s" s="30">
        <v>39</v>
      </c>
      <c r="D16" s="31">
        <v>1</v>
      </c>
      <c r="E16" s="32">
        <v>7.5</v>
      </c>
      <c r="F16" s="33">
        <f>D16*E16</f>
        <v>7.5</v>
      </c>
      <c r="G16" s="33"/>
      <c r="H16" s="33"/>
      <c r="I16" s="33">
        <v>5</v>
      </c>
      <c r="J16" s="33">
        <f>D16*I16</f>
        <v>5</v>
      </c>
      <c r="K16" s="33"/>
      <c r="L16" s="33"/>
      <c r="M16" s="34"/>
    </row>
    <row r="17" ht="19" customHeight="1">
      <c r="A17" t="s" s="15">
        <v>40</v>
      </c>
      <c r="B17" s="29"/>
      <c r="C17" s="35"/>
      <c r="D17" s="34"/>
      <c r="E17" s="36"/>
      <c r="F17" s="37">
        <f>SUM(F2:F16)</f>
        <v>396.2</v>
      </c>
      <c r="G17" s="38">
        <f>F17-(F17/10)</f>
        <v>356.58</v>
      </c>
      <c r="H17" s="33"/>
      <c r="I17" s="33">
        <f>SUM(I2:I16)</f>
        <v>360</v>
      </c>
      <c r="J17" s="39">
        <f>SUM(J2:J16)</f>
        <v>360</v>
      </c>
      <c r="K17" s="33"/>
      <c r="L17" s="40">
        <f>SUM(L2:L16)</f>
        <v>255.65</v>
      </c>
      <c r="M17" s="34"/>
    </row>
    <row r="18" ht="19" customHeight="1">
      <c r="A18" s="19"/>
      <c r="B18" s="29"/>
      <c r="C18" s="35"/>
      <c r="D18" s="34"/>
      <c r="E18" s="41"/>
      <c r="F18" s="34"/>
      <c r="G18" s="34"/>
      <c r="H18" s="34"/>
      <c r="I18" s="34"/>
      <c r="J18" s="34"/>
      <c r="K18" s="34"/>
      <c r="L18" s="34"/>
      <c r="M18" s="34"/>
    </row>
    <row r="19" ht="19" customHeight="1">
      <c r="A19" s="19"/>
      <c r="B19" s="29"/>
      <c r="C19" s="35"/>
      <c r="D19" s="34"/>
      <c r="E19" s="41"/>
      <c r="F19" s="34"/>
      <c r="G19" s="34"/>
      <c r="H19" s="34"/>
      <c r="I19" t="s" s="42">
        <v>40</v>
      </c>
      <c r="J19" s="34"/>
      <c r="K19" s="34"/>
      <c r="L19" s="34"/>
      <c r="M19" s="34"/>
    </row>
    <row r="20" ht="19" customHeight="1">
      <c r="A20" s="19"/>
      <c r="B20" s="29"/>
      <c r="C20" s="35"/>
      <c r="D20" s="34"/>
      <c r="E20" s="41"/>
      <c r="F20" s="34"/>
      <c r="G20" s="34"/>
      <c r="H20" s="34"/>
      <c r="I20" t="s" s="42">
        <v>41</v>
      </c>
      <c r="J20" s="34"/>
      <c r="K20" s="43">
        <f>G17-L17</f>
        <v>100.93</v>
      </c>
      <c r="L20" s="34"/>
      <c r="M20" s="34"/>
    </row>
    <row r="21" ht="19" customHeight="1">
      <c r="A21" s="19"/>
      <c r="B21" s="29"/>
      <c r="C21" s="35"/>
      <c r="D21" s="34"/>
      <c r="E21" s="41"/>
      <c r="F21" s="34"/>
      <c r="G21" s="34"/>
      <c r="H21" s="34"/>
      <c r="I21" s="34"/>
      <c r="J21" s="34"/>
      <c r="K21" s="34"/>
      <c r="L21" s="34"/>
      <c r="M21" s="3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21"/>
  <sheetViews>
    <sheetView workbookViewId="0" showGridLines="0" defaultGridColor="1">
      <pane topLeftCell="B2" xSplit="1" ySplit="1" activePane="bottomRight" state="frozen"/>
    </sheetView>
  </sheetViews>
  <sheetFormatPr defaultColWidth="12.25" defaultRowHeight="16.55" customHeight="1" outlineLevelRow="0" outlineLevelCol="0"/>
  <cols>
    <col min="1" max="1" width="12.25" style="44" customWidth="1"/>
    <col min="2" max="2" width="6.78125" style="44" customWidth="1"/>
    <col min="3" max="3" width="12.25" style="44" customWidth="1"/>
    <col min="4" max="4" width="4.20312" style="44" customWidth="1"/>
    <col min="5" max="5" width="7.89062" style="44" customWidth="1"/>
    <col min="6" max="7" width="12.25" style="44" customWidth="1"/>
    <col min="8" max="8" width="4.21875" style="44" customWidth="1"/>
    <col min="9" max="13" width="12.25" style="44" customWidth="1"/>
    <col min="14" max="16384" width="12.25" style="44" customWidth="1"/>
  </cols>
  <sheetData>
    <row r="1" ht="18" customHeight="1">
      <c r="A1" s="6"/>
      <c r="B1" s="22"/>
      <c r="C1" s="8"/>
      <c r="D1" s="9"/>
      <c r="E1" s="23"/>
      <c r="F1" s="9"/>
      <c r="G1" s="9"/>
      <c r="H1" s="6"/>
      <c r="I1" s="10"/>
      <c r="J1" s="10"/>
      <c r="K1" s="10"/>
      <c r="L1" s="6"/>
      <c r="M1" s="6"/>
    </row>
    <row r="2" ht="33.5" customHeight="1">
      <c r="A2" t="s" s="11">
        <v>1</v>
      </c>
      <c r="B2" s="24"/>
      <c r="C2" t="s" s="12">
        <v>2</v>
      </c>
      <c r="D2" t="s" s="25">
        <v>30</v>
      </c>
      <c r="E2" t="s" s="26">
        <v>31</v>
      </c>
      <c r="F2" t="s" s="25">
        <v>32</v>
      </c>
      <c r="G2" t="s" s="25">
        <v>33</v>
      </c>
      <c r="H2" s="27"/>
      <c r="I2" t="s" s="28">
        <v>34</v>
      </c>
      <c r="J2" t="s" s="28">
        <v>35</v>
      </c>
      <c r="K2" t="s" s="28">
        <v>42</v>
      </c>
      <c r="L2" s="27"/>
      <c r="M2" s="27"/>
    </row>
    <row r="3" ht="19" customHeight="1">
      <c r="A3" t="s" s="15">
        <v>37</v>
      </c>
      <c r="B3" s="29"/>
      <c r="C3" t="s" s="30">
        <v>8</v>
      </c>
      <c r="D3" s="31">
        <v>5</v>
      </c>
      <c r="E3" s="32">
        <v>22.7</v>
      </c>
      <c r="F3" s="33">
        <f>D3*E3</f>
        <v>113.5</v>
      </c>
      <c r="G3" s="33">
        <f>F3-(F3/10)</f>
        <v>102.15</v>
      </c>
      <c r="H3" s="33"/>
      <c r="I3" s="33">
        <v>20</v>
      </c>
      <c r="J3" s="33">
        <f>D3*I3</f>
        <v>100</v>
      </c>
      <c r="K3" s="33">
        <v>16</v>
      </c>
      <c r="L3" s="33">
        <f>D3*K3</f>
        <v>80</v>
      </c>
      <c r="M3" s="34"/>
    </row>
    <row r="4" ht="19" customHeight="1">
      <c r="A4" s="19"/>
      <c r="B4" s="29"/>
      <c r="C4" t="s" s="30">
        <v>9</v>
      </c>
      <c r="D4" s="31">
        <v>1</v>
      </c>
      <c r="E4" s="32">
        <v>44.2</v>
      </c>
      <c r="F4" s="33">
        <f>D4*E4</f>
        <v>44.2</v>
      </c>
      <c r="G4" s="33">
        <f>F4-(F4/10)</f>
        <v>39.78</v>
      </c>
      <c r="H4" s="33"/>
      <c r="I4" s="33">
        <v>42</v>
      </c>
      <c r="J4" s="33">
        <f>D4*I4</f>
        <v>42</v>
      </c>
      <c r="K4" s="33">
        <v>33.6</v>
      </c>
      <c r="L4" s="33">
        <f>D4*K4</f>
        <v>33.6</v>
      </c>
      <c r="M4" s="34"/>
    </row>
    <row r="5" ht="28" customHeight="1">
      <c r="A5" s="19"/>
      <c r="B5" s="29"/>
      <c r="C5" t="s" s="30">
        <v>10</v>
      </c>
      <c r="D5" s="31">
        <v>1</v>
      </c>
      <c r="E5" s="32">
        <v>39.5</v>
      </c>
      <c r="F5" s="33">
        <f>D5*E5</f>
        <v>39.5</v>
      </c>
      <c r="G5" s="33">
        <f>F5-(F5/10)</f>
        <v>35.55</v>
      </c>
      <c r="H5" s="33"/>
      <c r="I5" s="33">
        <v>39</v>
      </c>
      <c r="J5" s="33">
        <f>D5*I5</f>
        <v>39</v>
      </c>
      <c r="K5" s="33">
        <v>32</v>
      </c>
      <c r="L5" s="33">
        <f>D5*K5</f>
        <v>32</v>
      </c>
      <c r="M5" s="34"/>
    </row>
    <row r="6" ht="19" customHeight="1">
      <c r="A6" s="19"/>
      <c r="B6" s="29"/>
      <c r="C6" t="s" s="30">
        <v>11</v>
      </c>
      <c r="D6" s="31">
        <v>1</v>
      </c>
      <c r="E6" s="32">
        <v>27.5</v>
      </c>
      <c r="F6" s="33">
        <f>D6*E6</f>
        <v>27.5</v>
      </c>
      <c r="G6" s="33">
        <f>F6-(F6/10)</f>
        <v>24.75</v>
      </c>
      <c r="H6" s="33"/>
      <c r="I6" s="33">
        <v>25</v>
      </c>
      <c r="J6" s="33">
        <f>D6*I6</f>
        <v>25</v>
      </c>
      <c r="K6" s="33">
        <v>20</v>
      </c>
      <c r="L6" s="33">
        <f>D6*K6</f>
        <v>20</v>
      </c>
      <c r="M6" s="34"/>
    </row>
    <row r="7" ht="19" customHeight="1">
      <c r="A7" s="19"/>
      <c r="B7" s="29"/>
      <c r="C7" t="s" s="30">
        <v>12</v>
      </c>
      <c r="D7" s="31">
        <v>1</v>
      </c>
      <c r="E7" s="32">
        <v>9.5</v>
      </c>
      <c r="F7" s="33">
        <f>D7*E7</f>
        <v>9.5</v>
      </c>
      <c r="G7" s="33">
        <f>F7-(F7/10)</f>
        <v>8.550000000000001</v>
      </c>
      <c r="H7" s="33"/>
      <c r="I7" s="33">
        <v>7.5</v>
      </c>
      <c r="J7" s="33">
        <f>D7*I7</f>
        <v>7.5</v>
      </c>
      <c r="K7" s="33">
        <v>6</v>
      </c>
      <c r="L7" s="33">
        <f>D7*K7</f>
        <v>6</v>
      </c>
      <c r="M7" s="34"/>
    </row>
    <row r="8" ht="19" customHeight="1">
      <c r="A8" s="19"/>
      <c r="B8" s="29"/>
      <c r="C8" t="s" s="30">
        <v>15</v>
      </c>
      <c r="D8" s="31">
        <v>1</v>
      </c>
      <c r="E8" s="32">
        <v>39.5</v>
      </c>
      <c r="F8" s="33">
        <f>D8*E8</f>
        <v>39.5</v>
      </c>
      <c r="G8" s="33">
        <f>F8-(F8/10)</f>
        <v>35.55</v>
      </c>
      <c r="H8" s="33"/>
      <c r="I8" s="33">
        <v>30</v>
      </c>
      <c r="J8" s="33">
        <f>D8*I8</f>
        <v>30</v>
      </c>
      <c r="K8" s="33">
        <v>27</v>
      </c>
      <c r="L8" s="33">
        <f>D8*K8</f>
        <v>27</v>
      </c>
      <c r="M8" s="34"/>
    </row>
    <row r="9" ht="19" customHeight="1">
      <c r="A9" s="19"/>
      <c r="B9" s="29"/>
      <c r="C9" t="s" s="30">
        <v>20</v>
      </c>
      <c r="D9" s="31">
        <v>1</v>
      </c>
      <c r="E9" s="32">
        <v>29.1</v>
      </c>
      <c r="F9" s="33">
        <f>D9*E9</f>
        <v>29.1</v>
      </c>
      <c r="G9" s="33">
        <f>F9-(F9/10)</f>
        <v>26.19</v>
      </c>
      <c r="H9" s="33"/>
      <c r="I9" s="33">
        <v>32</v>
      </c>
      <c r="J9" s="33">
        <f>D9*I9</f>
        <v>32</v>
      </c>
      <c r="K9" s="33">
        <v>25.6</v>
      </c>
      <c r="L9" s="33">
        <f>D9*K9</f>
        <v>25.6</v>
      </c>
      <c r="M9" s="31">
        <v>24</v>
      </c>
    </row>
    <row r="10" ht="19" customHeight="1">
      <c r="A10" s="19"/>
      <c r="B10" s="29"/>
      <c r="C10" t="s" s="30">
        <v>43</v>
      </c>
      <c r="D10" s="31">
        <v>1</v>
      </c>
      <c r="E10" s="32">
        <v>44.5</v>
      </c>
      <c r="F10" s="33">
        <f>D10*E10</f>
        <v>44.5</v>
      </c>
      <c r="G10" s="33">
        <f>F10-(F10/10)</f>
        <v>40.05</v>
      </c>
      <c r="H10" s="33"/>
      <c r="I10" s="33">
        <v>42</v>
      </c>
      <c r="J10" s="33">
        <f>D10*I10</f>
        <v>42</v>
      </c>
      <c r="K10" s="33">
        <v>33.6</v>
      </c>
      <c r="L10" s="33">
        <f>D10*K10</f>
        <v>33.6</v>
      </c>
      <c r="M10" s="34"/>
    </row>
    <row r="11" ht="19" customHeight="1">
      <c r="A11" s="19"/>
      <c r="B11" s="29"/>
      <c r="C11" t="s" s="30">
        <v>22</v>
      </c>
      <c r="D11" s="31">
        <v>1</v>
      </c>
      <c r="E11" s="32">
        <v>34.9</v>
      </c>
      <c r="F11" s="33">
        <f>D11*E11</f>
        <v>34.9</v>
      </c>
      <c r="G11" s="33">
        <f>F11-(F11/10)</f>
        <v>31.41</v>
      </c>
      <c r="H11" s="33"/>
      <c r="I11" s="33">
        <v>34</v>
      </c>
      <c r="J11" s="33">
        <f>D11*I11</f>
        <v>34</v>
      </c>
      <c r="K11" s="33">
        <v>27.2</v>
      </c>
      <c r="L11" s="33">
        <f>D11*K11</f>
        <v>27.2</v>
      </c>
      <c r="M11" s="34"/>
    </row>
    <row r="12" ht="19" customHeight="1">
      <c r="A12" s="19"/>
      <c r="B12" s="29"/>
      <c r="C12" t="s" s="30">
        <v>23</v>
      </c>
      <c r="D12" s="31">
        <v>1</v>
      </c>
      <c r="E12" s="32">
        <v>27.5</v>
      </c>
      <c r="F12" s="33">
        <f>D12*E12</f>
        <v>27.5</v>
      </c>
      <c r="G12" s="33">
        <f>F12-(F12/10)</f>
        <v>24.75</v>
      </c>
      <c r="H12" s="33"/>
      <c r="I12" s="33">
        <v>32.5</v>
      </c>
      <c r="J12" s="33">
        <f>D12*I12</f>
        <v>32.5</v>
      </c>
      <c r="K12" s="33">
        <v>25</v>
      </c>
      <c r="L12" s="33">
        <f>D12*K12</f>
        <v>25</v>
      </c>
      <c r="M12" s="34"/>
    </row>
    <row r="13" ht="19" customHeight="1">
      <c r="A13" s="19"/>
      <c r="B13" s="29"/>
      <c r="C13" t="s" s="30">
        <v>24</v>
      </c>
      <c r="D13" s="31">
        <v>1</v>
      </c>
      <c r="E13" s="32">
        <v>21.7</v>
      </c>
      <c r="F13" s="33">
        <f>D13*E13</f>
        <v>21.7</v>
      </c>
      <c r="G13" s="33">
        <f>F13-(F13/10)</f>
        <v>19.53</v>
      </c>
      <c r="H13" s="33"/>
      <c r="I13" s="33">
        <v>19</v>
      </c>
      <c r="J13" s="33">
        <f>D13*I13</f>
        <v>19</v>
      </c>
      <c r="K13" s="33">
        <v>15.2</v>
      </c>
      <c r="L13" s="33">
        <f>D13*K13</f>
        <v>15.2</v>
      </c>
      <c r="M13" s="34"/>
    </row>
    <row r="14" ht="19" customHeight="1">
      <c r="A14" s="19"/>
      <c r="B14" s="29"/>
      <c r="C14" t="s" s="30">
        <v>26</v>
      </c>
      <c r="D14" s="31">
        <v>1</v>
      </c>
      <c r="E14" s="32">
        <v>22.2</v>
      </c>
      <c r="F14" s="33">
        <f>D14*E14</f>
        <v>22.2</v>
      </c>
      <c r="G14" s="33">
        <f>F14-(F14/10)</f>
        <v>19.98</v>
      </c>
      <c r="H14" s="33"/>
      <c r="I14" s="33">
        <v>17</v>
      </c>
      <c r="J14" s="33">
        <f>D14*I14</f>
        <v>17</v>
      </c>
      <c r="K14" s="33">
        <v>13.6</v>
      </c>
      <c r="L14" s="33">
        <f>D14*K14</f>
        <v>13.6</v>
      </c>
      <c r="M14" s="31">
        <v>22.5</v>
      </c>
    </row>
    <row r="15" ht="19" customHeight="1">
      <c r="A15" s="19"/>
      <c r="B15" s="29"/>
      <c r="C15" t="s" s="30">
        <v>29</v>
      </c>
      <c r="D15" s="31">
        <v>1</v>
      </c>
      <c r="E15" s="32">
        <v>25.9</v>
      </c>
      <c r="F15" s="33">
        <f>D15*E15</f>
        <v>25.9</v>
      </c>
      <c r="G15" s="33">
        <f>F15-(F15/10)</f>
        <v>23.31</v>
      </c>
      <c r="H15" s="33"/>
      <c r="I15" s="33">
        <v>22</v>
      </c>
      <c r="J15" s="33">
        <f>D15*I15</f>
        <v>22</v>
      </c>
      <c r="K15" s="33">
        <v>17.5</v>
      </c>
      <c r="L15" s="33">
        <f>D15*K15</f>
        <v>17.5</v>
      </c>
      <c r="M15" s="34"/>
    </row>
    <row r="16" ht="19" customHeight="1">
      <c r="A16" s="19"/>
      <c r="B16" s="29"/>
      <c r="C16" t="s" s="30">
        <v>39</v>
      </c>
      <c r="D16" s="31">
        <v>5</v>
      </c>
      <c r="E16" s="32">
        <v>7.5</v>
      </c>
      <c r="F16" s="33">
        <f>D16*E16</f>
        <v>37.5</v>
      </c>
      <c r="G16" s="33"/>
      <c r="H16" s="33"/>
      <c r="I16" s="33">
        <v>0</v>
      </c>
      <c r="J16" s="33">
        <f>D16*I16</f>
        <v>0</v>
      </c>
      <c r="K16" s="33"/>
      <c r="L16" s="33"/>
      <c r="M16" s="34"/>
    </row>
    <row r="17" ht="19" customHeight="1">
      <c r="A17" t="s" s="15">
        <v>40</v>
      </c>
      <c r="B17" s="29"/>
      <c r="C17" s="35"/>
      <c r="D17" s="34"/>
      <c r="E17" s="36"/>
      <c r="F17" s="37">
        <f>SUM(F2:F16)</f>
        <v>517</v>
      </c>
      <c r="G17" s="38">
        <f>F17-(F17/10)</f>
        <v>465.3</v>
      </c>
      <c r="H17" s="33"/>
      <c r="I17" s="33">
        <f>SUM(I2:I16)</f>
        <v>362</v>
      </c>
      <c r="J17" s="39">
        <f>SUM(J2:J16)</f>
        <v>442</v>
      </c>
      <c r="K17" s="33"/>
      <c r="L17" s="40">
        <f>SUM(L2:L16)</f>
        <v>356.3</v>
      </c>
      <c r="M17" s="34"/>
    </row>
    <row r="18" ht="19" customHeight="1">
      <c r="A18" s="19"/>
      <c r="B18" s="29"/>
      <c r="C18" s="35"/>
      <c r="D18" s="34"/>
      <c r="E18" s="41"/>
      <c r="F18" s="34"/>
      <c r="G18" s="34"/>
      <c r="H18" s="34"/>
      <c r="I18" s="34"/>
      <c r="J18" s="34"/>
      <c r="K18" s="34"/>
      <c r="L18" s="34"/>
      <c r="M18" s="34"/>
    </row>
    <row r="19" ht="19" customHeight="1">
      <c r="A19" s="19"/>
      <c r="B19" s="29"/>
      <c r="C19" s="35"/>
      <c r="D19" s="34"/>
      <c r="E19" s="41"/>
      <c r="F19" s="34"/>
      <c r="G19" s="34"/>
      <c r="H19" s="34"/>
      <c r="I19" t="s" s="42">
        <v>40</v>
      </c>
      <c r="J19" s="34"/>
      <c r="K19" s="34"/>
      <c r="L19" s="34"/>
      <c r="M19" s="34"/>
    </row>
    <row r="20" ht="19" customHeight="1">
      <c r="A20" s="19"/>
      <c r="B20" s="29"/>
      <c r="C20" s="35"/>
      <c r="D20" s="34"/>
      <c r="E20" s="41"/>
      <c r="F20" s="34"/>
      <c r="G20" s="34"/>
      <c r="H20" s="34"/>
      <c r="I20" t="s" s="42">
        <v>41</v>
      </c>
      <c r="J20" s="34"/>
      <c r="K20" s="43">
        <f>G17-L17</f>
        <v>109</v>
      </c>
      <c r="L20" s="34"/>
      <c r="M20" s="34"/>
    </row>
    <row r="21" ht="19" customHeight="1">
      <c r="A21" s="19"/>
      <c r="B21" s="29"/>
      <c r="C21" s="35"/>
      <c r="D21" s="34"/>
      <c r="E21" s="41"/>
      <c r="F21" s="34"/>
      <c r="G21" s="34"/>
      <c r="H21" s="34"/>
      <c r="I21" s="34"/>
      <c r="J21" s="34"/>
      <c r="K21" s="34"/>
      <c r="L21" s="34"/>
      <c r="M21" s="3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